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gabi.martins\Desktop\Anthropic\"/>
    </mc:Choice>
  </mc:AlternateContent>
  <xr:revisionPtr revIDLastSave="0" documentId="8_{7A84B360-9CDE-42F2-9A95-82264094044F}" xr6:coauthVersionLast="47" xr6:coauthVersionMax="47" xr10:uidLastSave="{00000000-0000-0000-0000-000000000000}"/>
  <bookViews>
    <workbookView xWindow="-120" yWindow="-120" windowWidth="29040" windowHeight="17520" activeTab="2" xr2:uid="{00000000-000D-0000-FFFF-FFFF00000000}"/>
  </bookViews>
  <sheets>
    <sheet name="Rubric" sheetId="1" r:id="rId1"/>
    <sheet name="Test 1" sheetId="2" r:id="rId2"/>
    <sheet name="Test 2"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8" i="3" l="1"/>
  <c r="G36" i="3"/>
  <c r="G35" i="3"/>
  <c r="G34" i="3"/>
  <c r="G33" i="3"/>
  <c r="G32" i="3"/>
  <c r="G31" i="3"/>
  <c r="G30" i="3"/>
  <c r="G29" i="3"/>
  <c r="G28" i="3"/>
  <c r="G27" i="3"/>
  <c r="G26" i="3"/>
  <c r="G25" i="3"/>
  <c r="G24" i="3"/>
  <c r="G23" i="3"/>
  <c r="G22" i="3"/>
  <c r="G21" i="3"/>
  <c r="G20" i="3"/>
  <c r="G19" i="3"/>
  <c r="G18" i="3"/>
  <c r="G17" i="3"/>
  <c r="G16" i="3"/>
  <c r="G15" i="3"/>
  <c r="G14" i="3"/>
  <c r="G13" i="3"/>
  <c r="G12" i="3"/>
  <c r="G11" i="3"/>
  <c r="G10" i="3"/>
  <c r="G9" i="3"/>
  <c r="G8" i="3"/>
  <c r="G7" i="3"/>
  <c r="G6" i="3"/>
  <c r="G5" i="3"/>
  <c r="F39" i="3" s="1"/>
  <c r="F40" i="3" s="1"/>
  <c r="B3" i="3"/>
  <c r="B1" i="3"/>
  <c r="B2" i="3" s="1"/>
  <c r="F38" i="2"/>
  <c r="G36" i="2"/>
  <c r="G35" i="2"/>
  <c r="G34" i="2"/>
  <c r="G33" i="2"/>
  <c r="G32" i="2"/>
  <c r="G31" i="2"/>
  <c r="G30" i="2"/>
  <c r="G29" i="2"/>
  <c r="G28" i="2"/>
  <c r="G27" i="2"/>
  <c r="G26" i="2"/>
  <c r="G25" i="2"/>
  <c r="G24" i="2"/>
  <c r="G23" i="2"/>
  <c r="G22" i="2"/>
  <c r="G21" i="2"/>
  <c r="G20" i="2"/>
  <c r="G19" i="2"/>
  <c r="G18" i="2"/>
  <c r="G17" i="2"/>
  <c r="G16" i="2"/>
  <c r="G15" i="2"/>
  <c r="G14" i="2"/>
  <c r="G13" i="2"/>
  <c r="G12" i="2"/>
  <c r="G11" i="2"/>
  <c r="G10" i="2"/>
  <c r="G9" i="2"/>
  <c r="G8" i="2"/>
  <c r="G7" i="2"/>
  <c r="G6" i="2"/>
  <c r="G5" i="2"/>
  <c r="F39" i="2" s="1"/>
  <c r="F40" i="2" s="1"/>
  <c r="B3" i="2"/>
  <c r="B1" i="2"/>
  <c r="B2" i="2" s="1"/>
  <c r="G10" i="1"/>
  <c r="G20" i="1"/>
  <c r="G9" i="1"/>
  <c r="B1" i="1"/>
  <c r="G6" i="1"/>
  <c r="G7" i="1"/>
  <c r="G8" i="1"/>
  <c r="G11" i="1"/>
  <c r="G12" i="1"/>
  <c r="G13" i="1"/>
  <c r="G14" i="1"/>
  <c r="G15" i="1"/>
  <c r="G16" i="1"/>
  <c r="G17" i="1"/>
  <c r="G18" i="1"/>
  <c r="G19" i="1"/>
  <c r="G21" i="1"/>
  <c r="G22" i="1"/>
  <c r="G23" i="1"/>
  <c r="G24" i="1"/>
  <c r="G25" i="1"/>
  <c r="G26" i="1"/>
  <c r="G27" i="1"/>
  <c r="G28" i="1"/>
  <c r="G29" i="1"/>
  <c r="G30" i="1"/>
  <c r="G31" i="1"/>
  <c r="G32" i="1"/>
  <c r="G33" i="1"/>
  <c r="G34" i="1"/>
  <c r="G35" i="1"/>
  <c r="G36" i="1"/>
  <c r="G5" i="1"/>
  <c r="F38" i="1"/>
  <c r="F39" i="1" l="1"/>
  <c r="B3" i="1" l="1"/>
  <c r="F40" i="1"/>
  <c r="B2" i="1"/>
</calcChain>
</file>

<file path=xl/sharedStrings.xml><?xml version="1.0" encoding="utf-8"?>
<sst xmlns="http://schemas.openxmlformats.org/spreadsheetml/2006/main" count="476" uniqueCount="65">
  <si>
    <t>Critical Failure Present?</t>
  </si>
  <si>
    <t>Overall Result</t>
  </si>
  <si>
    <t>Percentage</t>
  </si>
  <si>
    <t>Section</t>
  </si>
  <si>
    <t>Category</t>
  </si>
  <si>
    <t>Checkpoint</t>
  </si>
  <si>
    <t>Severity</t>
  </si>
  <si>
    <t>Points</t>
  </si>
  <si>
    <t>Pass (Y/N)</t>
  </si>
  <si>
    <t>Score Earned</t>
  </si>
  <si>
    <t>Notes</t>
  </si>
  <si>
    <t>Input Validation</t>
  </si>
  <si>
    <t>Backbone</t>
  </si>
  <si>
    <t>Did the user provide a backbone sequence?</t>
  </si>
  <si>
    <t>Info</t>
  </si>
  <si>
    <t>If not, did the user select a predefined plasmid or indicate the backbone sequence for the program to pull?</t>
  </si>
  <si>
    <t>Critical</t>
  </si>
  <si>
    <t>Correct backbone sequence retrieved (if selecting from library)? Leave blank if not applicable.</t>
  </si>
  <si>
    <t>Correct backbone sequence retrieved (if the user provided the URL)? Leave blank if not applicable.</t>
  </si>
  <si>
    <t>Correct backbone sequence retrieved (if the user provided the name)? Leave blank if not applicable.</t>
  </si>
  <si>
    <t>Backbone length correct (for example, the program in the chat will pull the sequence length, is this length that is output correct?)</t>
  </si>
  <si>
    <t>Minor</t>
  </si>
  <si>
    <t>Backbone sequence is valid DNA</t>
  </si>
  <si>
    <t>Insert</t>
  </si>
  <si>
    <t>Did the user provide an insert sequence?</t>
  </si>
  <si>
    <t>If not, did the user provide a Gene ID? (Leave blank if not applicable)</t>
  </si>
  <si>
    <t>If a gene ID was provided, was the correct insert retrieved?</t>
  </si>
  <si>
    <t>Insert sequence valid is DNA</t>
  </si>
  <si>
    <t>Insert length correct (for example, the program in the chat will pull the sequence length, is this length that is output correct?)</t>
  </si>
  <si>
    <t>Insert complete and unmodified at input (whe the program reiterates the input sequence, is this actually correct?)</t>
  </si>
  <si>
    <t>Major</t>
  </si>
  <si>
    <t>Design &amp; Assembly Logic</t>
  </si>
  <si>
    <t>Assembly</t>
  </si>
  <si>
    <t>Correct insertion site selected</t>
  </si>
  <si>
    <t>Plasmid constructed as described (within 10 nt) -- for example, when the program says where the insert was placed, is this actually correct?</t>
  </si>
  <si>
    <t>Plasmid constructed as described (over 10 nt off from design) -- for example, when the program says where the insert was placed, is this actually correct?</t>
  </si>
  <si>
    <t>Insert orientation correct</t>
  </si>
  <si>
    <t>Reading frame preserved (if applicable)</t>
  </si>
  <si>
    <t>Valid start codon present (if applicable)</t>
  </si>
  <si>
    <t>Valid stop codon present</t>
  </si>
  <si>
    <t>Insert incorporated without modification</t>
  </si>
  <si>
    <t>Backbone preserved outside insertion</t>
  </si>
  <si>
    <t>Construct Integrity</t>
  </si>
  <si>
    <t>Integrity</t>
  </si>
  <si>
    <t>Full-length plasmid generated</t>
  </si>
  <si>
    <t>Total plasmid length correct</t>
  </si>
  <si>
    <t>All expected features present</t>
  </si>
  <si>
    <t>Output Verification</t>
  </si>
  <si>
    <t>Output</t>
  </si>
  <si>
    <t>Correct file format generated</t>
  </si>
  <si>
    <t>Output opens in standard tools</t>
  </si>
  <si>
    <t>Sequence orientation correct</t>
  </si>
  <si>
    <t>Biological Sanity Checks</t>
  </si>
  <si>
    <t>Biology</t>
  </si>
  <si>
    <t>Valid ORF present</t>
  </si>
  <si>
    <t>Promoter positioned correctly</t>
  </si>
  <si>
    <t>Selectable markers intact</t>
  </si>
  <si>
    <t>Replication origins intact</t>
  </si>
  <si>
    <t>Total Possible (Non-Critical)</t>
  </si>
  <si>
    <t>Total Earned (Non-Critical)</t>
  </si>
  <si>
    <t>y</t>
  </si>
  <si>
    <t>n</t>
  </si>
  <si>
    <r>
      <rPr>
        <sz val="14"/>
        <color rgb="FF000000"/>
        <rFont val="Arial"/>
      </rPr>
      <t>After being able to just provide the Backbone name and retrieve the sequence, the sequence was manually provided. Size is off and the sequence contained the error at this point: "BackboneName": "pcDNA3.1(+)",
  "SequenceLength": "</t>
    </r>
    <r>
      <rPr>
        <b/>
        <sz val="14"/>
        <color rgb="FF000000"/>
        <rFont val="Arial"/>
      </rPr>
      <t>5589</t>
    </r>
    <r>
      <rPr>
        <sz val="14"/>
        <color rgb="FF000000"/>
        <rFont val="Arial"/>
      </rPr>
      <t xml:space="preserve"> bp",
  "Promoter": "CMV (Cyomegalovirus)",
  "SelectionMarker": "Neomycin (G418 resistance)",
  "Origin": "SV40 origin, f1 origin",
  "SequenceProvided": "yes",</t>
    </r>
  </si>
  <si>
    <t>Was recorded as 717bp, but is 720 bp</t>
  </si>
  <si>
    <t>Plasmid constructed as described (within 10 nt) -- for example, when the program says where the insert was placed, is this actually correct? If its not exactly correct but within 10nt select N, for longer discrepancies, see next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</si>
</sst>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Calibri"/>
      <family val="2"/>
      <scheme val="minor"/>
    </font>
    <font>
      <b/>
      <sz val="14"/>
      <name val="Arial"/>
      <family val="2"/>
    </font>
    <font>
      <sz val="11"/>
      <color theme="1"/>
      <name val="Arial"/>
      <family val="2"/>
    </font>
    <font>
      <sz val="14"/>
      <color theme="1"/>
      <name val="Arial"/>
      <family val="2"/>
    </font>
    <font>
      <b/>
      <sz val="14"/>
      <color theme="1"/>
      <name val="Arial"/>
      <family val="2"/>
    </font>
    <font>
      <sz val="14"/>
      <color rgb="FF000000"/>
      <name val="Arial"/>
    </font>
    <font>
      <b/>
      <sz val="14"/>
      <color rgb="FF000000"/>
      <name val="Arial"/>
    </font>
  </fonts>
  <fills count="3">
    <fill>
      <patternFill patternType="none"/>
    </fill>
    <fill>
      <patternFill patternType="gray125"/>
    </fill>
    <fill>
      <patternFill patternType="solid">
        <fgColor theme="8" tint="0.399975585192419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2" fillId="2" borderId="0" xfId="0" applyFont="1" applyFill="1"/>
    <xf numFmtId="0" fontId="3" fillId="0" borderId="0" xfId="0" applyFont="1"/>
    <xf numFmtId="0" fontId="4" fillId="0" borderId="0" xfId="0" applyFont="1"/>
    <xf numFmtId="0" fontId="2" fillId="2" borderId="0" xfId="0" applyFont="1" applyFill="1" applyAlignment="1">
      <alignment wrapText="1"/>
    </xf>
    <xf numFmtId="0" fontId="4" fillId="0" borderId="0" xfId="0" applyFont="1" applyAlignment="1">
      <alignment wrapText="1"/>
    </xf>
    <xf numFmtId="0" fontId="3" fillId="0" borderId="0" xfId="0" applyFont="1" applyAlignment="1">
      <alignment wrapText="1"/>
    </xf>
    <xf numFmtId="0" fontId="5" fillId="0" borderId="0" xfId="0" applyFont="1"/>
    <xf numFmtId="0" fontId="3" fillId="0" borderId="0" xfId="0" applyFont="1" applyAlignment="1">
      <alignment horizontal="center"/>
    </xf>
    <xf numFmtId="0" fontId="2" fillId="2" borderId="0" xfId="0" applyFont="1" applyFill="1" applyAlignment="1">
      <alignment horizontal="center"/>
    </xf>
    <xf numFmtId="0" fontId="4" fillId="0" borderId="0" xfId="0" applyFont="1" applyAlignment="1">
      <alignment horizontal="center"/>
    </xf>
    <xf numFmtId="9" fontId="4" fillId="0" borderId="0" xfId="1" applyFont="1" applyAlignment="1">
      <alignment horizontal="center"/>
    </xf>
    <xf numFmtId="9" fontId="5" fillId="0" borderId="0" xfId="0" applyNumberFormat="1" applyFont="1" applyAlignment="1">
      <alignment horizontal="left"/>
    </xf>
    <xf numFmtId="0" fontId="6" fillId="0" borderId="0" xfId="0" applyFont="1" applyAlignment="1">
      <alignment wrapText="1"/>
    </xf>
  </cellXfs>
  <cellStyles count="2">
    <cellStyle name="Normal" xfId="0" builtinId="0"/>
    <cellStyle name="Percent" xfId="1" builtinId="5"/>
  </cellStyles>
  <dxfs count="66">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val="0"/>
        <i val="0"/>
        <strike val="0"/>
        <condense val="0"/>
        <extend val="0"/>
        <outline val="0"/>
        <shadow val="0"/>
        <u val="none"/>
        <vertAlign val="baseline"/>
        <sz val="14"/>
        <color theme="1"/>
        <name val="Arial"/>
        <family val="2"/>
        <scheme val="none"/>
      </font>
    </dxf>
    <dxf>
      <font>
        <b val="0"/>
        <i val="0"/>
        <strike val="0"/>
        <condense val="0"/>
        <extend val="0"/>
        <outline val="0"/>
        <shadow val="0"/>
        <u val="none"/>
        <vertAlign val="baseline"/>
        <sz val="14"/>
        <color theme="1"/>
        <name val="Arial"/>
        <family val="2"/>
        <scheme val="none"/>
      </font>
    </dxf>
    <dxf>
      <font>
        <b val="0"/>
        <i val="0"/>
        <strike val="0"/>
        <condense val="0"/>
        <extend val="0"/>
        <outline val="0"/>
        <shadow val="0"/>
        <u val="none"/>
        <vertAlign val="baseline"/>
        <sz val="14"/>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rial"/>
        <family val="2"/>
        <scheme val="none"/>
      </font>
    </dxf>
    <dxf>
      <font>
        <b val="0"/>
        <i val="0"/>
        <strike val="0"/>
        <condense val="0"/>
        <extend val="0"/>
        <outline val="0"/>
        <shadow val="0"/>
        <u val="none"/>
        <vertAlign val="baseline"/>
        <sz val="14"/>
        <color theme="1"/>
        <name val="Arial"/>
        <family val="2"/>
        <scheme val="none"/>
      </font>
    </dxf>
    <dxf>
      <font>
        <b val="0"/>
        <i val="0"/>
        <strike val="0"/>
        <condense val="0"/>
        <extend val="0"/>
        <outline val="0"/>
        <shadow val="0"/>
        <u val="none"/>
        <vertAlign val="baseline"/>
        <sz val="14"/>
        <color theme="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4"/>
        <color theme="1"/>
        <name val="Arial"/>
        <family val="2"/>
        <scheme val="none"/>
      </font>
    </dxf>
    <dxf>
      <font>
        <b val="0"/>
        <i val="0"/>
        <strike val="0"/>
        <condense val="0"/>
        <extend val="0"/>
        <outline val="0"/>
        <shadow val="0"/>
        <u val="none"/>
        <vertAlign val="baseline"/>
        <sz val="14"/>
        <color theme="1"/>
        <name val="Arial"/>
        <family val="2"/>
        <scheme val="none"/>
      </font>
    </dxf>
    <dxf>
      <font>
        <b val="0"/>
        <i val="0"/>
        <strike val="0"/>
        <condense val="0"/>
        <extend val="0"/>
        <outline val="0"/>
        <shadow val="0"/>
        <u val="none"/>
        <vertAlign val="baseline"/>
        <sz val="14"/>
        <color theme="1"/>
        <name val="Arial"/>
        <family val="2"/>
        <scheme val="none"/>
      </font>
    </dxf>
    <dxf>
      <font>
        <b/>
        <i val="0"/>
        <strike val="0"/>
        <condense val="0"/>
        <extend val="0"/>
        <outline val="0"/>
        <shadow val="0"/>
        <u val="none"/>
        <vertAlign val="baseline"/>
        <sz val="14"/>
        <color auto="1"/>
        <name val="Arial"/>
        <family val="2"/>
        <scheme val="none"/>
      </font>
      <fill>
        <patternFill patternType="solid">
          <fgColor indexed="64"/>
          <bgColor theme="8" tint="0.39997558519241921"/>
        </patternFill>
      </fill>
    </dxf>
    <dxf>
      <font>
        <b val="0"/>
        <i val="0"/>
        <strike val="0"/>
        <condense val="0"/>
        <extend val="0"/>
        <outline val="0"/>
        <shadow val="0"/>
        <u val="none"/>
        <vertAlign val="baseline"/>
        <sz val="14"/>
        <color theme="1"/>
        <name val="Arial"/>
        <family val="2"/>
        <scheme val="none"/>
      </font>
    </dxf>
    <dxf>
      <font>
        <b val="0"/>
        <i val="0"/>
        <strike val="0"/>
        <condense val="0"/>
        <extend val="0"/>
        <outline val="0"/>
        <shadow val="0"/>
        <u val="none"/>
        <vertAlign val="baseline"/>
        <sz val="14"/>
        <color theme="1"/>
        <name val="Arial"/>
        <family val="2"/>
        <scheme val="none"/>
      </font>
    </dxf>
    <dxf>
      <font>
        <b val="0"/>
        <i val="0"/>
        <strike val="0"/>
        <condense val="0"/>
        <extend val="0"/>
        <outline val="0"/>
        <shadow val="0"/>
        <u val="none"/>
        <vertAlign val="baseline"/>
        <sz val="14"/>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rial"/>
        <family val="2"/>
        <scheme val="none"/>
      </font>
    </dxf>
    <dxf>
      <font>
        <b val="0"/>
        <i val="0"/>
        <strike val="0"/>
        <condense val="0"/>
        <extend val="0"/>
        <outline val="0"/>
        <shadow val="0"/>
        <u val="none"/>
        <vertAlign val="baseline"/>
        <sz val="14"/>
        <color theme="1"/>
        <name val="Arial"/>
        <family val="2"/>
        <scheme val="none"/>
      </font>
    </dxf>
    <dxf>
      <font>
        <b val="0"/>
        <i val="0"/>
        <strike val="0"/>
        <condense val="0"/>
        <extend val="0"/>
        <outline val="0"/>
        <shadow val="0"/>
        <u val="none"/>
        <vertAlign val="baseline"/>
        <sz val="14"/>
        <color theme="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4"/>
        <color theme="1"/>
        <name val="Arial"/>
        <family val="2"/>
        <scheme val="none"/>
      </font>
    </dxf>
    <dxf>
      <font>
        <b val="0"/>
        <i val="0"/>
        <strike val="0"/>
        <condense val="0"/>
        <extend val="0"/>
        <outline val="0"/>
        <shadow val="0"/>
        <u val="none"/>
        <vertAlign val="baseline"/>
        <sz val="14"/>
        <color theme="1"/>
        <name val="Arial"/>
        <family val="2"/>
        <scheme val="none"/>
      </font>
    </dxf>
    <dxf>
      <font>
        <b val="0"/>
        <i val="0"/>
        <strike val="0"/>
        <condense val="0"/>
        <extend val="0"/>
        <outline val="0"/>
        <shadow val="0"/>
        <u val="none"/>
        <vertAlign val="baseline"/>
        <sz val="14"/>
        <color theme="1"/>
        <name val="Arial"/>
        <family val="2"/>
        <scheme val="none"/>
      </font>
    </dxf>
    <dxf>
      <font>
        <b/>
        <i val="0"/>
        <strike val="0"/>
        <condense val="0"/>
        <extend val="0"/>
        <outline val="0"/>
        <shadow val="0"/>
        <u val="none"/>
        <vertAlign val="baseline"/>
        <sz val="14"/>
        <color auto="1"/>
        <name val="Arial"/>
        <family val="2"/>
        <scheme val="none"/>
      </font>
      <fill>
        <patternFill patternType="solid">
          <fgColor indexed="64"/>
          <bgColor theme="8" tint="0.39997558519241921"/>
        </patternFill>
      </fill>
    </dxf>
    <dxf>
      <font>
        <b val="0"/>
        <i val="0"/>
        <strike val="0"/>
        <condense val="0"/>
        <extend val="0"/>
        <outline val="0"/>
        <shadow val="0"/>
        <u val="none"/>
        <vertAlign val="baseline"/>
        <sz val="14"/>
        <color theme="1"/>
        <name val="Arial"/>
        <family val="2"/>
        <scheme val="none"/>
      </font>
    </dxf>
    <dxf>
      <font>
        <b val="0"/>
        <i val="0"/>
        <strike val="0"/>
        <condense val="0"/>
        <extend val="0"/>
        <outline val="0"/>
        <shadow val="0"/>
        <u val="none"/>
        <vertAlign val="baseline"/>
        <sz val="14"/>
        <color theme="1"/>
        <name val="Arial"/>
        <family val="2"/>
        <scheme val="none"/>
      </font>
    </dxf>
    <dxf>
      <font>
        <b val="0"/>
        <i val="0"/>
        <strike val="0"/>
        <condense val="0"/>
        <extend val="0"/>
        <outline val="0"/>
        <shadow val="0"/>
        <u val="none"/>
        <vertAlign val="baseline"/>
        <sz val="14"/>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rial"/>
        <family val="2"/>
        <scheme val="none"/>
      </font>
    </dxf>
    <dxf>
      <font>
        <b val="0"/>
        <i val="0"/>
        <strike val="0"/>
        <condense val="0"/>
        <extend val="0"/>
        <outline val="0"/>
        <shadow val="0"/>
        <u val="none"/>
        <vertAlign val="baseline"/>
        <sz val="14"/>
        <color theme="1"/>
        <name val="Arial"/>
        <family val="2"/>
        <scheme val="none"/>
      </font>
    </dxf>
    <dxf>
      <font>
        <b val="0"/>
        <i val="0"/>
        <strike val="0"/>
        <condense val="0"/>
        <extend val="0"/>
        <outline val="0"/>
        <shadow val="0"/>
        <u val="none"/>
        <vertAlign val="baseline"/>
        <sz val="14"/>
        <color theme="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4"/>
        <color theme="1"/>
        <name val="Arial"/>
        <family val="2"/>
        <scheme val="none"/>
      </font>
    </dxf>
    <dxf>
      <font>
        <b val="0"/>
        <i val="0"/>
        <strike val="0"/>
        <condense val="0"/>
        <extend val="0"/>
        <outline val="0"/>
        <shadow val="0"/>
        <u val="none"/>
        <vertAlign val="baseline"/>
        <sz val="14"/>
        <color theme="1"/>
        <name val="Arial"/>
        <family val="2"/>
        <scheme val="none"/>
      </font>
    </dxf>
    <dxf>
      <font>
        <b val="0"/>
        <i val="0"/>
        <strike val="0"/>
        <condense val="0"/>
        <extend val="0"/>
        <outline val="0"/>
        <shadow val="0"/>
        <u val="none"/>
        <vertAlign val="baseline"/>
        <sz val="14"/>
        <color theme="1"/>
        <name val="Arial"/>
        <family val="2"/>
        <scheme val="none"/>
      </font>
    </dxf>
    <dxf>
      <font>
        <b/>
        <i val="0"/>
        <strike val="0"/>
        <condense val="0"/>
        <extend val="0"/>
        <outline val="0"/>
        <shadow val="0"/>
        <u val="none"/>
        <vertAlign val="baseline"/>
        <sz val="14"/>
        <color auto="1"/>
        <name val="Arial"/>
        <family val="2"/>
        <scheme val="none"/>
      </font>
      <fill>
        <patternFill patternType="solid">
          <fgColor indexed="64"/>
          <bgColor theme="8" tint="0.3999755851924192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10A07D-BAB4-484B-AD8D-826E1A4C2C05}" name="Table1" displayName="Table1" ref="A4:H36" totalsRowShown="0" headerRowDxfId="65" dataDxfId="64">
  <autoFilter ref="A4:H36" xr:uid="{F810A07D-BAB4-484B-AD8D-826E1A4C2C05}"/>
  <tableColumns count="8">
    <tableColumn id="1" xr3:uid="{E43FFCF4-4CA2-7241-A590-2D20BD26DF2F}" name="Section" dataDxfId="63"/>
    <tableColumn id="2" xr3:uid="{437FC012-FC6A-3649-A0FE-1389C7571806}" name="Category" dataDxfId="62"/>
    <tableColumn id="3" xr3:uid="{844D8E52-D230-2A4C-AF8D-648599A1C7B0}" name="Checkpoint" dataDxfId="61"/>
    <tableColumn id="4" xr3:uid="{781CF4A2-B45A-A643-A404-C58B89382BF2}" name="Severity" dataDxfId="60"/>
    <tableColumn id="5" xr3:uid="{B9B113DF-E448-214C-9929-776E986CC371}" name="Points" dataDxfId="59"/>
    <tableColumn id="6" xr3:uid="{BD054360-2185-DC41-ADF0-CF90F53DA4AA}" name="Pass (Y/N)" dataDxfId="58"/>
    <tableColumn id="7" xr3:uid="{365A065C-8998-314E-BD88-5400414EBF83}" name="Score Earned" dataDxfId="57">
      <calculatedColumnFormula>IF(LOWER(F5)="n", E5, 0)</calculatedColumnFormula>
    </tableColumn>
    <tableColumn id="8" xr3:uid="{F82EE4E8-7CB4-BD4E-8DAD-6DCBE340F468}" name="Notes" dataDxfId="56"/>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E20E0CB-86FB-4ED8-B610-65A64CB1F22F}" name="Table14" displayName="Table14" ref="A4:H36" totalsRowShown="0" headerRowDxfId="55" dataDxfId="54">
  <autoFilter ref="A4:H36" xr:uid="{2E20E0CB-86FB-4ED8-B610-65A64CB1F22F}"/>
  <tableColumns count="8">
    <tableColumn id="1" xr3:uid="{F857E51D-8F71-43E1-A0AA-33C85D26B96E}" name="Section" dataDxfId="53"/>
    <tableColumn id="2" xr3:uid="{7F1B2B3F-45A5-4CFE-B152-3F0823EEB524}" name="Category" dataDxfId="52"/>
    <tableColumn id="3" xr3:uid="{19582EC4-041B-4519-8BDF-0AA796F6C570}" name="Checkpoint" dataDxfId="51"/>
    <tableColumn id="4" xr3:uid="{86C91F63-B64A-423D-B557-731C7223E258}" name="Severity" dataDxfId="50"/>
    <tableColumn id="5" xr3:uid="{BDC3A388-C3D4-485B-AC5C-36AEDC2256AC}" name="Points" dataDxfId="49"/>
    <tableColumn id="6" xr3:uid="{45CC766F-BBA8-4DE7-BEDA-769C6AAAD70A}" name="Pass (Y/N)" dataDxfId="48"/>
    <tableColumn id="7" xr3:uid="{6ED91676-73BD-4E00-B195-9C3826014289}" name="Score Earned" dataDxfId="47">
      <calculatedColumnFormula>IF(LOWER(F5)="n", E5, 0)</calculatedColumnFormula>
    </tableColumn>
    <tableColumn id="8" xr3:uid="{0FF37378-49DF-4BB2-BCE7-1CAEFE60D877}" name="Notes" dataDxfId="46"/>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203F9D5-1716-4C2B-BC2E-208FD26F05D7}" name="Table15" displayName="Table15" ref="A4:H36" totalsRowShown="0" headerRowDxfId="45" dataDxfId="44">
  <autoFilter ref="A4:H36" xr:uid="{C203F9D5-1716-4C2B-BC2E-208FD26F05D7}"/>
  <tableColumns count="8">
    <tableColumn id="1" xr3:uid="{FD9277B2-2BD2-42C1-8F75-D5D870792A1E}" name="Section" dataDxfId="43"/>
    <tableColumn id="2" xr3:uid="{B5F6BB17-F803-4290-975A-9CBF9940D910}" name="Category" dataDxfId="42"/>
    <tableColumn id="3" xr3:uid="{E14BDD2B-856F-46D0-ACEF-E0792A79FFC7}" name="Checkpoint" dataDxfId="41"/>
    <tableColumn id="4" xr3:uid="{121A31ED-655F-4FAF-AC8E-91CA523A650C}" name="Severity" dataDxfId="40"/>
    <tableColumn id="5" xr3:uid="{01BCED31-54D9-450C-B373-046A3EC10F15}" name="Points" dataDxfId="39"/>
    <tableColumn id="6" xr3:uid="{C14D836E-F3A3-44A7-87CD-761775E7B76A}" name="Pass (Y/N)" dataDxfId="38"/>
    <tableColumn id="7" xr3:uid="{141BCAAF-8B76-4771-A7F3-BAC7F1A481BE}" name="Score Earned" dataDxfId="37">
      <calculatedColumnFormula>IF(LOWER(F5)="n", E5, 0)</calculatedColumnFormula>
    </tableColumn>
    <tableColumn id="8" xr3:uid="{47EA7821-B74B-448D-AE30-FC528B9D1522}" name="Notes" dataDxfId="36"/>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4"/>
  <sheetViews>
    <sheetView topLeftCell="A10" workbookViewId="0">
      <selection activeCell="A29" sqref="A29:XFD29"/>
    </sheetView>
  </sheetViews>
  <sheetFormatPr defaultColWidth="8.85546875" defaultRowHeight="14.25" x14ac:dyDescent="0.2"/>
  <cols>
    <col min="1" max="1" width="29.7109375" style="2" customWidth="1"/>
    <col min="2" max="2" width="19.42578125" style="2" customWidth="1"/>
    <col min="3" max="3" width="58" style="6" customWidth="1"/>
    <col min="4" max="4" width="12.7109375" style="2" customWidth="1"/>
    <col min="5" max="5" width="15" style="2" customWidth="1"/>
    <col min="6" max="6" width="15.140625" style="8" customWidth="1"/>
    <col min="7" max="7" width="18.7109375" style="2" customWidth="1"/>
    <col min="8" max="8" width="11.85546875" style="2" customWidth="1"/>
    <col min="9" max="16384" width="8.85546875" style="2"/>
  </cols>
  <sheetData>
    <row r="1" spans="1:8" ht="18" x14ac:dyDescent="0.25">
      <c r="A1" s="7" t="s">
        <v>0</v>
      </c>
      <c r="B1" s="7" t="str">
        <f>IF(
  COUNTIFS(D5:D36,"Critical",F5:F36,"N")
+ COUNTIFS(D5:D36,"Critical",F5:F36,"n") &gt; 0,
"YES","NO")</f>
        <v>NO</v>
      </c>
    </row>
    <row r="2" spans="1:8" ht="18" x14ac:dyDescent="0.25">
      <c r="A2" s="7" t="s">
        <v>1</v>
      </c>
      <c r="B2" s="7" t="str">
        <f>IF(B1="YES","FAIL",IF(F39/F38&lt;=0.1,"PASS","FAIL"))</f>
        <v>PASS</v>
      </c>
    </row>
    <row r="3" spans="1:8" ht="18" x14ac:dyDescent="0.25">
      <c r="A3" s="7" t="s">
        <v>2</v>
      </c>
      <c r="B3" s="12">
        <f>(1-(F39/F38))</f>
        <v>1</v>
      </c>
    </row>
    <row r="4" spans="1:8" ht="18" x14ac:dyDescent="0.25">
      <c r="A4" s="1" t="s">
        <v>3</v>
      </c>
      <c r="B4" s="1" t="s">
        <v>4</v>
      </c>
      <c r="C4" s="4" t="s">
        <v>5</v>
      </c>
      <c r="D4" s="1" t="s">
        <v>6</v>
      </c>
      <c r="E4" s="1" t="s">
        <v>7</v>
      </c>
      <c r="F4" s="9" t="s">
        <v>8</v>
      </c>
      <c r="G4" s="1" t="s">
        <v>9</v>
      </c>
      <c r="H4" s="1" t="s">
        <v>10</v>
      </c>
    </row>
    <row r="5" spans="1:8" ht="18" x14ac:dyDescent="0.25">
      <c r="A5" s="3" t="s">
        <v>11</v>
      </c>
      <c r="B5" s="3" t="s">
        <v>12</v>
      </c>
      <c r="C5" s="5" t="s">
        <v>13</v>
      </c>
      <c r="D5" s="3" t="s">
        <v>14</v>
      </c>
      <c r="E5" s="3">
        <v>0</v>
      </c>
      <c r="F5" s="10"/>
      <c r="G5" s="3">
        <f>IF(LOWER(F5)="n", E5, 0)</f>
        <v>0</v>
      </c>
      <c r="H5" s="3"/>
    </row>
    <row r="6" spans="1:8" ht="54" x14ac:dyDescent="0.25">
      <c r="A6" s="3" t="s">
        <v>11</v>
      </c>
      <c r="B6" s="3" t="s">
        <v>12</v>
      </c>
      <c r="C6" s="5" t="s">
        <v>15</v>
      </c>
      <c r="D6" s="3" t="s">
        <v>16</v>
      </c>
      <c r="E6" s="3">
        <v>2</v>
      </c>
      <c r="F6" s="10"/>
      <c r="G6" s="3">
        <f t="shared" ref="G6:G36" si="0">IF(LOWER(F6)="n", E6, 0)</f>
        <v>0</v>
      </c>
      <c r="H6" s="3"/>
    </row>
    <row r="7" spans="1:8" ht="54" x14ac:dyDescent="0.25">
      <c r="A7" s="3" t="s">
        <v>11</v>
      </c>
      <c r="B7" s="3" t="s">
        <v>12</v>
      </c>
      <c r="C7" s="5" t="s">
        <v>17</v>
      </c>
      <c r="D7" s="3" t="s">
        <v>16</v>
      </c>
      <c r="E7" s="3">
        <v>2</v>
      </c>
      <c r="F7" s="10"/>
      <c r="G7" s="3">
        <f t="shared" si="0"/>
        <v>0</v>
      </c>
      <c r="H7" s="3"/>
    </row>
    <row r="8" spans="1:8" ht="54" x14ac:dyDescent="0.25">
      <c r="A8" s="3" t="s">
        <v>11</v>
      </c>
      <c r="B8" s="3" t="s">
        <v>12</v>
      </c>
      <c r="C8" s="5" t="s">
        <v>18</v>
      </c>
      <c r="D8" s="3" t="s">
        <v>16</v>
      </c>
      <c r="E8" s="3">
        <v>2</v>
      </c>
      <c r="F8" s="10"/>
      <c r="G8" s="3">
        <f t="shared" si="0"/>
        <v>0</v>
      </c>
      <c r="H8" s="3"/>
    </row>
    <row r="9" spans="1:8" ht="54" x14ac:dyDescent="0.25">
      <c r="A9" s="3" t="s">
        <v>11</v>
      </c>
      <c r="B9" s="3" t="s">
        <v>12</v>
      </c>
      <c r="C9" s="5" t="s">
        <v>19</v>
      </c>
      <c r="D9" s="3" t="s">
        <v>16</v>
      </c>
      <c r="E9" s="3">
        <v>2</v>
      </c>
      <c r="F9" s="10"/>
      <c r="G9" s="3">
        <f t="shared" ref="G9" si="1">IF(LOWER(F9)="n", E9, 0)</f>
        <v>0</v>
      </c>
      <c r="H9" s="3"/>
    </row>
    <row r="10" spans="1:8" ht="54" x14ac:dyDescent="0.25">
      <c r="A10" s="3" t="s">
        <v>11</v>
      </c>
      <c r="B10" s="3" t="s">
        <v>12</v>
      </c>
      <c r="C10" s="5" t="s">
        <v>20</v>
      </c>
      <c r="D10" s="3" t="s">
        <v>21</v>
      </c>
      <c r="E10" s="3">
        <v>0.5</v>
      </c>
      <c r="F10" s="10"/>
      <c r="G10" s="3">
        <f>IF(LOWER(F10)="n", E10, 0)</f>
        <v>0</v>
      </c>
      <c r="H10" s="3"/>
    </row>
    <row r="11" spans="1:8" ht="18" x14ac:dyDescent="0.25">
      <c r="A11" s="3" t="s">
        <v>11</v>
      </c>
      <c r="B11" s="3" t="s">
        <v>12</v>
      </c>
      <c r="C11" s="5" t="s">
        <v>22</v>
      </c>
      <c r="D11" s="3" t="s">
        <v>16</v>
      </c>
      <c r="E11" s="3">
        <v>2</v>
      </c>
      <c r="F11" s="10"/>
      <c r="G11" s="3">
        <f t="shared" si="0"/>
        <v>0</v>
      </c>
      <c r="H11" s="3"/>
    </row>
    <row r="12" spans="1:8" ht="18" x14ac:dyDescent="0.25">
      <c r="A12" s="3" t="s">
        <v>11</v>
      </c>
      <c r="B12" s="3" t="s">
        <v>23</v>
      </c>
      <c r="C12" s="5" t="s">
        <v>24</v>
      </c>
      <c r="D12" s="3" t="s">
        <v>14</v>
      </c>
      <c r="E12" s="3">
        <v>0</v>
      </c>
      <c r="F12" s="10"/>
      <c r="G12" s="3">
        <f t="shared" si="0"/>
        <v>0</v>
      </c>
      <c r="H12" s="3"/>
    </row>
    <row r="13" spans="1:8" ht="36" x14ac:dyDescent="0.25">
      <c r="A13" s="3" t="s">
        <v>11</v>
      </c>
      <c r="B13" s="3" t="s">
        <v>23</v>
      </c>
      <c r="C13" s="5" t="s">
        <v>25</v>
      </c>
      <c r="D13" s="3" t="s">
        <v>16</v>
      </c>
      <c r="E13" s="3">
        <v>2</v>
      </c>
      <c r="F13" s="10"/>
      <c r="G13" s="3">
        <f t="shared" si="0"/>
        <v>0</v>
      </c>
      <c r="H13" s="3"/>
    </row>
    <row r="14" spans="1:8" ht="36" x14ac:dyDescent="0.25">
      <c r="A14" s="3" t="s">
        <v>11</v>
      </c>
      <c r="B14" s="3" t="s">
        <v>23</v>
      </c>
      <c r="C14" s="5" t="s">
        <v>26</v>
      </c>
      <c r="D14" s="3" t="s">
        <v>16</v>
      </c>
      <c r="E14" s="3">
        <v>2</v>
      </c>
      <c r="F14" s="10"/>
      <c r="G14" s="3">
        <f t="shared" si="0"/>
        <v>0</v>
      </c>
      <c r="H14" s="3"/>
    </row>
    <row r="15" spans="1:8" ht="18" x14ac:dyDescent="0.25">
      <c r="A15" s="3" t="s">
        <v>11</v>
      </c>
      <c r="B15" s="3" t="s">
        <v>23</v>
      </c>
      <c r="C15" s="5" t="s">
        <v>27</v>
      </c>
      <c r="D15" s="3" t="s">
        <v>16</v>
      </c>
      <c r="E15" s="3">
        <v>2</v>
      </c>
      <c r="F15" s="10"/>
      <c r="G15" s="3">
        <f t="shared" si="0"/>
        <v>0</v>
      </c>
      <c r="H15" s="3"/>
    </row>
    <row r="16" spans="1:8" ht="54" x14ac:dyDescent="0.25">
      <c r="A16" s="3" t="s">
        <v>11</v>
      </c>
      <c r="B16" s="3" t="s">
        <v>23</v>
      </c>
      <c r="C16" s="5" t="s">
        <v>28</v>
      </c>
      <c r="D16" s="3" t="s">
        <v>21</v>
      </c>
      <c r="E16" s="3">
        <v>0.5</v>
      </c>
      <c r="F16" s="10"/>
      <c r="G16" s="3">
        <f t="shared" si="0"/>
        <v>0</v>
      </c>
      <c r="H16" s="3"/>
    </row>
    <row r="17" spans="1:8" ht="54" x14ac:dyDescent="0.25">
      <c r="A17" s="3" t="s">
        <v>11</v>
      </c>
      <c r="B17" s="3" t="s">
        <v>23</v>
      </c>
      <c r="C17" s="5" t="s">
        <v>29</v>
      </c>
      <c r="D17" s="3" t="s">
        <v>30</v>
      </c>
      <c r="E17" s="3">
        <v>1</v>
      </c>
      <c r="F17" s="10"/>
      <c r="G17" s="3">
        <f t="shared" si="0"/>
        <v>0</v>
      </c>
      <c r="H17" s="3"/>
    </row>
    <row r="18" spans="1:8" ht="18" x14ac:dyDescent="0.25">
      <c r="A18" s="3" t="s">
        <v>31</v>
      </c>
      <c r="B18" s="3" t="s">
        <v>32</v>
      </c>
      <c r="C18" s="5" t="s">
        <v>33</v>
      </c>
      <c r="D18" s="3" t="s">
        <v>16</v>
      </c>
      <c r="E18" s="3">
        <v>2</v>
      </c>
      <c r="F18" s="10"/>
      <c r="G18" s="3">
        <f t="shared" si="0"/>
        <v>0</v>
      </c>
      <c r="H18" s="3"/>
    </row>
    <row r="19" spans="1:8" ht="72" x14ac:dyDescent="0.25">
      <c r="A19" s="3" t="s">
        <v>31</v>
      </c>
      <c r="B19" s="3" t="s">
        <v>32</v>
      </c>
      <c r="C19" s="5" t="s">
        <v>34</v>
      </c>
      <c r="D19" s="3" t="s">
        <v>21</v>
      </c>
      <c r="E19" s="3">
        <v>0.5</v>
      </c>
      <c r="F19" s="10"/>
      <c r="G19" s="3">
        <f t="shared" si="0"/>
        <v>0</v>
      </c>
      <c r="H19" s="3"/>
    </row>
    <row r="20" spans="1:8" ht="72" x14ac:dyDescent="0.25">
      <c r="A20" s="3" t="s">
        <v>31</v>
      </c>
      <c r="B20" s="3" t="s">
        <v>32</v>
      </c>
      <c r="C20" s="5" t="s">
        <v>35</v>
      </c>
      <c r="D20" s="3" t="s">
        <v>30</v>
      </c>
      <c r="E20" s="3">
        <v>1</v>
      </c>
      <c r="F20" s="10"/>
      <c r="G20" s="3">
        <f t="shared" ref="G20" si="2">IF(LOWER(F20)="n", E20, 0)</f>
        <v>0</v>
      </c>
      <c r="H20" s="3"/>
    </row>
    <row r="21" spans="1:8" ht="18" x14ac:dyDescent="0.25">
      <c r="A21" s="3" t="s">
        <v>31</v>
      </c>
      <c r="B21" s="3" t="s">
        <v>32</v>
      </c>
      <c r="C21" s="5" t="s">
        <v>36</v>
      </c>
      <c r="D21" s="3" t="s">
        <v>16</v>
      </c>
      <c r="E21" s="3">
        <v>2</v>
      </c>
      <c r="F21" s="10"/>
      <c r="G21" s="3">
        <f t="shared" si="0"/>
        <v>0</v>
      </c>
      <c r="H21" s="3"/>
    </row>
    <row r="22" spans="1:8" ht="18" x14ac:dyDescent="0.25">
      <c r="A22" s="3" t="s">
        <v>31</v>
      </c>
      <c r="B22" s="3" t="s">
        <v>32</v>
      </c>
      <c r="C22" s="5" t="s">
        <v>37</v>
      </c>
      <c r="D22" s="3" t="s">
        <v>16</v>
      </c>
      <c r="E22" s="3">
        <v>2</v>
      </c>
      <c r="F22" s="10"/>
      <c r="G22" s="3">
        <f t="shared" si="0"/>
        <v>0</v>
      </c>
      <c r="H22" s="3"/>
    </row>
    <row r="23" spans="1:8" ht="18" x14ac:dyDescent="0.25">
      <c r="A23" s="3" t="s">
        <v>31</v>
      </c>
      <c r="B23" s="3" t="s">
        <v>32</v>
      </c>
      <c r="C23" s="5" t="s">
        <v>38</v>
      </c>
      <c r="D23" s="3" t="s">
        <v>30</v>
      </c>
      <c r="E23" s="3">
        <v>1</v>
      </c>
      <c r="F23" s="10"/>
      <c r="G23" s="3">
        <f t="shared" si="0"/>
        <v>0</v>
      </c>
      <c r="H23" s="3"/>
    </row>
    <row r="24" spans="1:8" ht="18" x14ac:dyDescent="0.25">
      <c r="A24" s="3" t="s">
        <v>31</v>
      </c>
      <c r="B24" s="3" t="s">
        <v>32</v>
      </c>
      <c r="C24" s="5" t="s">
        <v>39</v>
      </c>
      <c r="D24" s="3" t="s">
        <v>30</v>
      </c>
      <c r="E24" s="3">
        <v>1</v>
      </c>
      <c r="F24" s="10"/>
      <c r="G24" s="3">
        <f t="shared" si="0"/>
        <v>0</v>
      </c>
      <c r="H24" s="3"/>
    </row>
    <row r="25" spans="1:8" ht="18" x14ac:dyDescent="0.25">
      <c r="A25" s="3" t="s">
        <v>31</v>
      </c>
      <c r="B25" s="3" t="s">
        <v>32</v>
      </c>
      <c r="C25" s="5" t="s">
        <v>40</v>
      </c>
      <c r="D25" s="3" t="s">
        <v>16</v>
      </c>
      <c r="E25" s="3">
        <v>2</v>
      </c>
      <c r="F25" s="10"/>
      <c r="G25" s="3">
        <f t="shared" si="0"/>
        <v>0</v>
      </c>
      <c r="H25" s="3"/>
    </row>
    <row r="26" spans="1:8" ht="18" x14ac:dyDescent="0.25">
      <c r="A26" s="3" t="s">
        <v>31</v>
      </c>
      <c r="B26" s="3" t="s">
        <v>32</v>
      </c>
      <c r="C26" s="5" t="s">
        <v>41</v>
      </c>
      <c r="D26" s="3" t="s">
        <v>16</v>
      </c>
      <c r="E26" s="3">
        <v>2</v>
      </c>
      <c r="F26" s="10"/>
      <c r="G26" s="3">
        <f t="shared" si="0"/>
        <v>0</v>
      </c>
      <c r="H26" s="3"/>
    </row>
    <row r="27" spans="1:8" ht="18" x14ac:dyDescent="0.25">
      <c r="A27" s="3" t="s">
        <v>42</v>
      </c>
      <c r="B27" s="3" t="s">
        <v>43</v>
      </c>
      <c r="C27" s="5" t="s">
        <v>44</v>
      </c>
      <c r="D27" s="3" t="s">
        <v>16</v>
      </c>
      <c r="E27" s="3">
        <v>2</v>
      </c>
      <c r="F27" s="10"/>
      <c r="G27" s="3">
        <f t="shared" si="0"/>
        <v>0</v>
      </c>
      <c r="H27" s="3"/>
    </row>
    <row r="28" spans="1:8" ht="18" x14ac:dyDescent="0.25">
      <c r="A28" s="3" t="s">
        <v>42</v>
      </c>
      <c r="B28" s="3" t="s">
        <v>43</v>
      </c>
      <c r="C28" s="5" t="s">
        <v>45</v>
      </c>
      <c r="D28" s="3" t="s">
        <v>30</v>
      </c>
      <c r="E28" s="3">
        <v>1</v>
      </c>
      <c r="F28" s="10"/>
      <c r="G28" s="3">
        <f t="shared" si="0"/>
        <v>0</v>
      </c>
      <c r="H28" s="3"/>
    </row>
    <row r="29" spans="1:8" ht="18" x14ac:dyDescent="0.25">
      <c r="A29" s="3" t="s">
        <v>42</v>
      </c>
      <c r="B29" s="3" t="s">
        <v>43</v>
      </c>
      <c r="C29" s="5" t="s">
        <v>46</v>
      </c>
      <c r="D29" s="3" t="s">
        <v>30</v>
      </c>
      <c r="E29" s="3">
        <v>1</v>
      </c>
      <c r="F29" s="10"/>
      <c r="G29" s="3">
        <f t="shared" si="0"/>
        <v>0</v>
      </c>
      <c r="H29" s="3"/>
    </row>
    <row r="30" spans="1:8" ht="18" x14ac:dyDescent="0.25">
      <c r="A30" s="3" t="s">
        <v>47</v>
      </c>
      <c r="B30" s="3" t="s">
        <v>48</v>
      </c>
      <c r="C30" s="5" t="s">
        <v>49</v>
      </c>
      <c r="D30" s="3" t="s">
        <v>30</v>
      </c>
      <c r="E30" s="3">
        <v>1</v>
      </c>
      <c r="F30" s="10"/>
      <c r="G30" s="3">
        <f t="shared" si="0"/>
        <v>0</v>
      </c>
      <c r="H30" s="3"/>
    </row>
    <row r="31" spans="1:8" ht="18" x14ac:dyDescent="0.25">
      <c r="A31" s="3" t="s">
        <v>47</v>
      </c>
      <c r="B31" s="3" t="s">
        <v>48</v>
      </c>
      <c r="C31" s="5" t="s">
        <v>50</v>
      </c>
      <c r="D31" s="3" t="s">
        <v>16</v>
      </c>
      <c r="E31" s="3">
        <v>2</v>
      </c>
      <c r="F31" s="10"/>
      <c r="G31" s="3">
        <f t="shared" si="0"/>
        <v>0</v>
      </c>
      <c r="H31" s="3"/>
    </row>
    <row r="32" spans="1:8" ht="18" x14ac:dyDescent="0.25">
      <c r="A32" s="3" t="s">
        <v>47</v>
      </c>
      <c r="B32" s="3" t="s">
        <v>48</v>
      </c>
      <c r="C32" s="5" t="s">
        <v>51</v>
      </c>
      <c r="D32" s="3" t="s">
        <v>30</v>
      </c>
      <c r="E32" s="3">
        <v>1</v>
      </c>
      <c r="F32" s="10"/>
      <c r="G32" s="3">
        <f t="shared" si="0"/>
        <v>0</v>
      </c>
      <c r="H32" s="3"/>
    </row>
    <row r="33" spans="1:8" ht="18" x14ac:dyDescent="0.25">
      <c r="A33" s="3" t="s">
        <v>52</v>
      </c>
      <c r="B33" s="3" t="s">
        <v>53</v>
      </c>
      <c r="C33" s="5" t="s">
        <v>54</v>
      </c>
      <c r="D33" s="3" t="s">
        <v>16</v>
      </c>
      <c r="E33" s="3">
        <v>2</v>
      </c>
      <c r="F33" s="10"/>
      <c r="G33" s="3">
        <f t="shared" si="0"/>
        <v>0</v>
      </c>
      <c r="H33" s="3"/>
    </row>
    <row r="34" spans="1:8" ht="18" x14ac:dyDescent="0.25">
      <c r="A34" s="3" t="s">
        <v>52</v>
      </c>
      <c r="B34" s="3" t="s">
        <v>53</v>
      </c>
      <c r="C34" s="5" t="s">
        <v>55</v>
      </c>
      <c r="D34" s="3" t="s">
        <v>16</v>
      </c>
      <c r="E34" s="3">
        <v>2</v>
      </c>
      <c r="F34" s="10"/>
      <c r="G34" s="3">
        <f t="shared" si="0"/>
        <v>0</v>
      </c>
      <c r="H34" s="3"/>
    </row>
    <row r="35" spans="1:8" ht="18" x14ac:dyDescent="0.25">
      <c r="A35" s="3" t="s">
        <v>52</v>
      </c>
      <c r="B35" s="3" t="s">
        <v>53</v>
      </c>
      <c r="C35" s="5" t="s">
        <v>56</v>
      </c>
      <c r="D35" s="3" t="s">
        <v>30</v>
      </c>
      <c r="E35" s="3">
        <v>1</v>
      </c>
      <c r="F35" s="10"/>
      <c r="G35" s="3">
        <f t="shared" si="0"/>
        <v>0</v>
      </c>
      <c r="H35" s="3"/>
    </row>
    <row r="36" spans="1:8" ht="18" x14ac:dyDescent="0.25">
      <c r="A36" s="3" t="s">
        <v>52</v>
      </c>
      <c r="B36" s="3" t="s">
        <v>53</v>
      </c>
      <c r="C36" s="5" t="s">
        <v>57</v>
      </c>
      <c r="D36" s="3" t="s">
        <v>30</v>
      </c>
      <c r="E36" s="3">
        <v>1</v>
      </c>
      <c r="F36" s="10"/>
      <c r="G36" s="3">
        <f t="shared" si="0"/>
        <v>0</v>
      </c>
      <c r="H36" s="3"/>
    </row>
    <row r="37" spans="1:8" ht="18" x14ac:dyDescent="0.25">
      <c r="A37" s="3"/>
      <c r="B37" s="3"/>
      <c r="C37" s="5"/>
      <c r="D37" s="3"/>
      <c r="E37" s="3"/>
      <c r="F37" s="10"/>
      <c r="G37" s="3"/>
      <c r="H37" s="3"/>
    </row>
    <row r="38" spans="1:8" ht="81.75" customHeight="1" x14ac:dyDescent="0.25">
      <c r="A38" s="3"/>
      <c r="B38" s="3"/>
      <c r="C38" s="5"/>
      <c r="D38" s="3"/>
      <c r="E38" s="5" t="s">
        <v>58</v>
      </c>
      <c r="F38" s="10">
        <f>SUMIF(D5:D36,"&lt;&gt;Critical",E5:E36)</f>
        <v>11.5</v>
      </c>
      <c r="G38" s="3"/>
      <c r="H38" s="3"/>
    </row>
    <row r="39" spans="1:8" ht="54" customHeight="1" x14ac:dyDescent="0.25">
      <c r="A39" s="3"/>
      <c r="B39" s="3"/>
      <c r="C39" s="5"/>
      <c r="D39" s="3"/>
      <c r="E39" s="5" t="s">
        <v>59</v>
      </c>
      <c r="F39" s="10">
        <f>SUMIF(D5:D36,"&lt;&gt;Critical",G5:G36)</f>
        <v>0</v>
      </c>
      <c r="G39" s="3"/>
      <c r="H39" s="3"/>
    </row>
    <row r="40" spans="1:8" ht="18" x14ac:dyDescent="0.25">
      <c r="A40" s="3"/>
      <c r="B40" s="3"/>
      <c r="C40" s="5"/>
      <c r="D40" s="3"/>
      <c r="F40" s="11">
        <f>(1-(F39/F38))</f>
        <v>1</v>
      </c>
      <c r="G40" s="3"/>
      <c r="H40" s="3"/>
    </row>
    <row r="41" spans="1:8" ht="18" x14ac:dyDescent="0.25">
      <c r="A41" s="3"/>
      <c r="B41" s="3"/>
      <c r="C41" s="5"/>
      <c r="D41" s="3"/>
      <c r="G41" s="3"/>
      <c r="H41" s="3"/>
    </row>
    <row r="43" spans="1:8" ht="18" x14ac:dyDescent="0.25">
      <c r="E43" s="3"/>
      <c r="F43" s="10"/>
    </row>
    <row r="44" spans="1:8" ht="18" x14ac:dyDescent="0.25">
      <c r="E44" s="3"/>
      <c r="F44" s="10"/>
    </row>
  </sheetData>
  <conditionalFormatting sqref="B1">
    <cfRule type="cellIs" dxfId="35" priority="4" operator="equal">
      <formula>"NO"</formula>
    </cfRule>
    <cfRule type="cellIs" dxfId="34" priority="7" operator="equal">
      <formula>"YES"</formula>
    </cfRule>
    <cfRule type="cellIs" dxfId="33" priority="8" operator="equal">
      <formula>"YEA"</formula>
    </cfRule>
  </conditionalFormatting>
  <conditionalFormatting sqref="B2:B3">
    <cfRule type="containsText" dxfId="32" priority="5" operator="containsText" text="PASS">
      <formula>NOT(ISERROR(SEARCH("PASS",B2)))</formula>
    </cfRule>
    <cfRule type="cellIs" dxfId="31" priority="6" operator="equal">
      <formula>"FAIL"</formula>
    </cfRule>
  </conditionalFormatting>
  <conditionalFormatting sqref="B3">
    <cfRule type="cellIs" dxfId="30" priority="1" operator="lessThan">
      <formula>0.9</formula>
    </cfRule>
    <cfRule type="cellIs" dxfId="29" priority="2" operator="greaterThanOrEqual">
      <formula>0.9</formula>
    </cfRule>
    <cfRule type="cellIs" dxfId="28" priority="3" operator="greaterThanOrEqual">
      <formula>90</formula>
    </cfRule>
  </conditionalFormatting>
  <conditionalFormatting sqref="F43">
    <cfRule type="cellIs" dxfId="27" priority="11" operator="equal">
      <formula>"YES"</formula>
    </cfRule>
    <cfRule type="cellIs" dxfId="26" priority="12" operator="equal">
      <formula>"YEA"</formula>
    </cfRule>
  </conditionalFormatting>
  <conditionalFormatting sqref="F44">
    <cfRule type="containsText" dxfId="25" priority="9" operator="containsText" text="PASS">
      <formula>NOT(ISERROR(SEARCH("PASS",F44)))</formula>
    </cfRule>
    <cfRule type="cellIs" dxfId="24" priority="10" operator="equal">
      <formula>"FAIL"</formula>
    </cfRule>
  </conditionalFormatting>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34E4E-2667-4C89-81EC-929A2C61369F}">
  <dimension ref="A1:H44"/>
  <sheetViews>
    <sheetView workbookViewId="0">
      <selection activeCell="G25" sqref="G25"/>
    </sheetView>
  </sheetViews>
  <sheetFormatPr defaultRowHeight="15" x14ac:dyDescent="0.25"/>
  <cols>
    <col min="1" max="1" width="29.7109375" customWidth="1"/>
    <col min="2" max="2" width="19.42578125" customWidth="1"/>
    <col min="3" max="3" width="58" customWidth="1"/>
    <col min="4" max="4" width="12.7109375" customWidth="1"/>
    <col min="5" max="5" width="15" customWidth="1"/>
    <col min="6" max="6" width="15.140625" customWidth="1"/>
    <col min="7" max="7" width="18.7109375" customWidth="1"/>
    <col min="8" max="8" width="11.85546875" customWidth="1"/>
  </cols>
  <sheetData>
    <row r="1" spans="1:8" ht="18" x14ac:dyDescent="0.25">
      <c r="A1" s="7" t="s">
        <v>0</v>
      </c>
      <c r="B1" s="7" t="str">
        <f>IF(
  COUNTIFS(D5:D36,"Critical",F5:F36,"N")
+ COUNTIFS(D5:D36,"Critical",F5:F36,"n") &gt; 0,
"YES","NO")</f>
        <v>NO</v>
      </c>
      <c r="C1" s="6"/>
      <c r="D1" s="2"/>
      <c r="E1" s="2"/>
      <c r="F1" s="8"/>
      <c r="G1" s="2"/>
      <c r="H1" s="2"/>
    </row>
    <row r="2" spans="1:8" ht="18" x14ac:dyDescent="0.25">
      <c r="A2" s="7" t="s">
        <v>1</v>
      </c>
      <c r="B2" s="7" t="str">
        <f>IF(B1="YES","FAIL",IF(F39/F38&lt;=0.1,"PASS","FAIL"))</f>
        <v>PASS</v>
      </c>
      <c r="C2" s="6"/>
      <c r="D2" s="2"/>
      <c r="E2" s="2"/>
      <c r="F2" s="8"/>
      <c r="G2" s="2"/>
      <c r="H2" s="2"/>
    </row>
    <row r="3" spans="1:8" ht="18" x14ac:dyDescent="0.25">
      <c r="A3" s="7" t="s">
        <v>2</v>
      </c>
      <c r="B3" s="12">
        <f>(1-(F39/F38))</f>
        <v>0.95652173913043481</v>
      </c>
      <c r="C3" s="6"/>
      <c r="D3" s="2"/>
      <c r="E3" s="2"/>
      <c r="F3" s="8"/>
      <c r="G3" s="2"/>
      <c r="H3" s="2"/>
    </row>
    <row r="4" spans="1:8" ht="18" x14ac:dyDescent="0.25">
      <c r="A4" s="1" t="s">
        <v>3</v>
      </c>
      <c r="B4" s="1" t="s">
        <v>4</v>
      </c>
      <c r="C4" s="4" t="s">
        <v>5</v>
      </c>
      <c r="D4" s="1" t="s">
        <v>6</v>
      </c>
      <c r="E4" s="1" t="s">
        <v>7</v>
      </c>
      <c r="F4" s="9" t="s">
        <v>8</v>
      </c>
      <c r="G4" s="1" t="s">
        <v>9</v>
      </c>
      <c r="H4" s="1" t="s">
        <v>10</v>
      </c>
    </row>
    <row r="5" spans="1:8" ht="18" x14ac:dyDescent="0.25">
      <c r="A5" s="3" t="s">
        <v>11</v>
      </c>
      <c r="B5" s="3" t="s">
        <v>12</v>
      </c>
      <c r="C5" s="5" t="s">
        <v>13</v>
      </c>
      <c r="D5" s="3" t="s">
        <v>14</v>
      </c>
      <c r="E5" s="3">
        <v>0</v>
      </c>
      <c r="F5" s="10" t="s">
        <v>60</v>
      </c>
      <c r="G5" s="3">
        <f>IF(LOWER(F5)="n", E5, 0)</f>
        <v>0</v>
      </c>
      <c r="H5" s="3"/>
    </row>
    <row r="6" spans="1:8" ht="54" x14ac:dyDescent="0.25">
      <c r="A6" s="3" t="s">
        <v>11</v>
      </c>
      <c r="B6" s="3" t="s">
        <v>12</v>
      </c>
      <c r="C6" s="5" t="s">
        <v>15</v>
      </c>
      <c r="D6" s="3" t="s">
        <v>16</v>
      </c>
      <c r="E6" s="3">
        <v>2</v>
      </c>
      <c r="F6" s="10" t="s">
        <v>60</v>
      </c>
      <c r="G6" s="3">
        <f t="shared" ref="G6:G36" si="0">IF(LOWER(F6)="n", E6, 0)</f>
        <v>0</v>
      </c>
      <c r="H6" s="3"/>
    </row>
    <row r="7" spans="1:8" ht="54" x14ac:dyDescent="0.25">
      <c r="A7" s="3" t="s">
        <v>11</v>
      </c>
      <c r="B7" s="3" t="s">
        <v>12</v>
      </c>
      <c r="C7" s="5" t="s">
        <v>17</v>
      </c>
      <c r="D7" s="3" t="s">
        <v>16</v>
      </c>
      <c r="E7" s="3">
        <v>2</v>
      </c>
      <c r="F7" s="10" t="s">
        <v>60</v>
      </c>
      <c r="G7" s="3">
        <f t="shared" si="0"/>
        <v>0</v>
      </c>
      <c r="H7" s="3"/>
    </row>
    <row r="8" spans="1:8" ht="54" x14ac:dyDescent="0.25">
      <c r="A8" s="3" t="s">
        <v>11</v>
      </c>
      <c r="B8" s="3" t="s">
        <v>12</v>
      </c>
      <c r="C8" s="5" t="s">
        <v>18</v>
      </c>
      <c r="D8" s="3" t="s">
        <v>16</v>
      </c>
      <c r="E8" s="3">
        <v>2</v>
      </c>
      <c r="F8" s="10"/>
      <c r="G8" s="3">
        <f t="shared" si="0"/>
        <v>0</v>
      </c>
      <c r="H8" s="3"/>
    </row>
    <row r="9" spans="1:8" ht="54" x14ac:dyDescent="0.25">
      <c r="A9" s="3" t="s">
        <v>11</v>
      </c>
      <c r="B9" s="3" t="s">
        <v>12</v>
      </c>
      <c r="C9" s="5" t="s">
        <v>19</v>
      </c>
      <c r="D9" s="3" t="s">
        <v>16</v>
      </c>
      <c r="E9" s="3">
        <v>2</v>
      </c>
      <c r="F9" s="10"/>
      <c r="G9" s="3">
        <f t="shared" si="0"/>
        <v>0</v>
      </c>
      <c r="H9" s="3"/>
    </row>
    <row r="10" spans="1:8" ht="54" x14ac:dyDescent="0.25">
      <c r="A10" s="3" t="s">
        <v>11</v>
      </c>
      <c r="B10" s="3" t="s">
        <v>12</v>
      </c>
      <c r="C10" s="5" t="s">
        <v>20</v>
      </c>
      <c r="D10" s="3" t="s">
        <v>21</v>
      </c>
      <c r="E10" s="3">
        <v>0.5</v>
      </c>
      <c r="F10" s="10" t="s">
        <v>60</v>
      </c>
      <c r="G10" s="3">
        <f>IF(LOWER(F10)="n", E10, 0)</f>
        <v>0</v>
      </c>
      <c r="H10" s="3"/>
    </row>
    <row r="11" spans="1:8" ht="18" x14ac:dyDescent="0.25">
      <c r="A11" s="3" t="s">
        <v>11</v>
      </c>
      <c r="B11" s="3" t="s">
        <v>12</v>
      </c>
      <c r="C11" s="5" t="s">
        <v>22</v>
      </c>
      <c r="D11" s="3" t="s">
        <v>16</v>
      </c>
      <c r="E11" s="3">
        <v>2</v>
      </c>
      <c r="F11" s="10" t="s">
        <v>60</v>
      </c>
      <c r="G11" s="3">
        <f t="shared" si="0"/>
        <v>0</v>
      </c>
      <c r="H11" s="3"/>
    </row>
    <row r="12" spans="1:8" ht="18" x14ac:dyDescent="0.25">
      <c r="A12" s="3" t="s">
        <v>11</v>
      </c>
      <c r="B12" s="3" t="s">
        <v>23</v>
      </c>
      <c r="C12" s="5" t="s">
        <v>24</v>
      </c>
      <c r="D12" s="3" t="s">
        <v>14</v>
      </c>
      <c r="E12" s="3">
        <v>0</v>
      </c>
      <c r="F12" s="10"/>
      <c r="G12" s="3">
        <f t="shared" si="0"/>
        <v>0</v>
      </c>
      <c r="H12" s="3"/>
    </row>
    <row r="13" spans="1:8" ht="36" x14ac:dyDescent="0.25">
      <c r="A13" s="3" t="s">
        <v>11</v>
      </c>
      <c r="B13" s="3" t="s">
        <v>23</v>
      </c>
      <c r="C13" s="5" t="s">
        <v>25</v>
      </c>
      <c r="D13" s="3" t="s">
        <v>16</v>
      </c>
      <c r="E13" s="3">
        <v>2</v>
      </c>
      <c r="F13" s="10"/>
      <c r="G13" s="3">
        <f t="shared" si="0"/>
        <v>0</v>
      </c>
      <c r="H13" s="3"/>
    </row>
    <row r="14" spans="1:8" ht="36" x14ac:dyDescent="0.25">
      <c r="A14" s="3" t="s">
        <v>11</v>
      </c>
      <c r="B14" s="3" t="s">
        <v>23</v>
      </c>
      <c r="C14" s="5" t="s">
        <v>26</v>
      </c>
      <c r="D14" s="3" t="s">
        <v>16</v>
      </c>
      <c r="E14" s="3">
        <v>2</v>
      </c>
      <c r="F14" s="10"/>
      <c r="G14" s="3">
        <f t="shared" si="0"/>
        <v>0</v>
      </c>
      <c r="H14" s="3"/>
    </row>
    <row r="15" spans="1:8" ht="18" x14ac:dyDescent="0.25">
      <c r="A15" s="3" t="s">
        <v>11</v>
      </c>
      <c r="B15" s="3" t="s">
        <v>23</v>
      </c>
      <c r="C15" s="5" t="s">
        <v>27</v>
      </c>
      <c r="D15" s="3" t="s">
        <v>16</v>
      </c>
      <c r="E15" s="3">
        <v>2</v>
      </c>
      <c r="F15" s="10" t="s">
        <v>60</v>
      </c>
      <c r="G15" s="3">
        <f t="shared" si="0"/>
        <v>0</v>
      </c>
      <c r="H15" s="3"/>
    </row>
    <row r="16" spans="1:8" ht="54" x14ac:dyDescent="0.25">
      <c r="A16" s="3" t="s">
        <v>11</v>
      </c>
      <c r="B16" s="3" t="s">
        <v>23</v>
      </c>
      <c r="C16" s="5" t="s">
        <v>28</v>
      </c>
      <c r="D16" s="3" t="s">
        <v>21</v>
      </c>
      <c r="E16" s="3">
        <v>0.5</v>
      </c>
      <c r="F16" s="10" t="s">
        <v>60</v>
      </c>
      <c r="G16" s="3">
        <f t="shared" si="0"/>
        <v>0</v>
      </c>
      <c r="H16" s="3"/>
    </row>
    <row r="17" spans="1:8" ht="54" x14ac:dyDescent="0.25">
      <c r="A17" s="3" t="s">
        <v>11</v>
      </c>
      <c r="B17" s="3" t="s">
        <v>23</v>
      </c>
      <c r="C17" s="5" t="s">
        <v>29</v>
      </c>
      <c r="D17" s="3" t="s">
        <v>30</v>
      </c>
      <c r="E17" s="3">
        <v>1</v>
      </c>
      <c r="F17" s="10" t="s">
        <v>60</v>
      </c>
      <c r="G17" s="3">
        <f t="shared" si="0"/>
        <v>0</v>
      </c>
      <c r="H17" s="3"/>
    </row>
    <row r="18" spans="1:8" ht="18" x14ac:dyDescent="0.25">
      <c r="A18" s="3" t="s">
        <v>31</v>
      </c>
      <c r="B18" s="3" t="s">
        <v>32</v>
      </c>
      <c r="C18" s="5" t="s">
        <v>33</v>
      </c>
      <c r="D18" s="3" t="s">
        <v>16</v>
      </c>
      <c r="E18" s="3">
        <v>2</v>
      </c>
      <c r="F18" s="10" t="s">
        <v>60</v>
      </c>
      <c r="G18" s="3">
        <f t="shared" si="0"/>
        <v>0</v>
      </c>
      <c r="H18" s="3"/>
    </row>
    <row r="19" spans="1:8" ht="72" x14ac:dyDescent="0.25">
      <c r="A19" s="3" t="s">
        <v>31</v>
      </c>
      <c r="B19" s="3" t="s">
        <v>32</v>
      </c>
      <c r="C19" s="5" t="s">
        <v>34</v>
      </c>
      <c r="D19" s="3" t="s">
        <v>21</v>
      </c>
      <c r="E19" s="3">
        <v>0.5</v>
      </c>
      <c r="F19" s="10" t="s">
        <v>61</v>
      </c>
      <c r="G19" s="3">
        <f t="shared" si="0"/>
        <v>0.5</v>
      </c>
      <c r="H19" s="3"/>
    </row>
    <row r="20" spans="1:8" ht="72" x14ac:dyDescent="0.25">
      <c r="A20" s="3" t="s">
        <v>31</v>
      </c>
      <c r="B20" s="3" t="s">
        <v>32</v>
      </c>
      <c r="C20" s="5" t="s">
        <v>35</v>
      </c>
      <c r="D20" s="3" t="s">
        <v>30</v>
      </c>
      <c r="E20" s="3">
        <v>1</v>
      </c>
      <c r="F20" s="10"/>
      <c r="G20" s="3">
        <f t="shared" si="0"/>
        <v>0</v>
      </c>
      <c r="H20" s="3"/>
    </row>
    <row r="21" spans="1:8" ht="18" x14ac:dyDescent="0.25">
      <c r="A21" s="3" t="s">
        <v>31</v>
      </c>
      <c r="B21" s="3" t="s">
        <v>32</v>
      </c>
      <c r="C21" s="5" t="s">
        <v>36</v>
      </c>
      <c r="D21" s="3" t="s">
        <v>16</v>
      </c>
      <c r="E21" s="3">
        <v>2</v>
      </c>
      <c r="F21" s="10" t="s">
        <v>60</v>
      </c>
      <c r="G21" s="3">
        <f t="shared" si="0"/>
        <v>0</v>
      </c>
      <c r="H21" s="3"/>
    </row>
    <row r="22" spans="1:8" ht="18" x14ac:dyDescent="0.25">
      <c r="A22" s="3" t="s">
        <v>31</v>
      </c>
      <c r="B22" s="3" t="s">
        <v>32</v>
      </c>
      <c r="C22" s="5" t="s">
        <v>37</v>
      </c>
      <c r="D22" s="3" t="s">
        <v>16</v>
      </c>
      <c r="E22" s="3">
        <v>2</v>
      </c>
      <c r="F22" s="10" t="s">
        <v>60</v>
      </c>
      <c r="G22" s="3">
        <f t="shared" si="0"/>
        <v>0</v>
      </c>
      <c r="H22" s="3"/>
    </row>
    <row r="23" spans="1:8" ht="18" x14ac:dyDescent="0.25">
      <c r="A23" s="3" t="s">
        <v>31</v>
      </c>
      <c r="B23" s="3" t="s">
        <v>32</v>
      </c>
      <c r="C23" s="5" t="s">
        <v>38</v>
      </c>
      <c r="D23" s="3" t="s">
        <v>30</v>
      </c>
      <c r="E23" s="3">
        <v>1</v>
      </c>
      <c r="F23" s="10" t="s">
        <v>60</v>
      </c>
      <c r="G23" s="3">
        <f t="shared" si="0"/>
        <v>0</v>
      </c>
      <c r="H23" s="3"/>
    </row>
    <row r="24" spans="1:8" ht="18" x14ac:dyDescent="0.25">
      <c r="A24" s="3" t="s">
        <v>31</v>
      </c>
      <c r="B24" s="3" t="s">
        <v>32</v>
      </c>
      <c r="C24" s="5" t="s">
        <v>39</v>
      </c>
      <c r="D24" s="3" t="s">
        <v>30</v>
      </c>
      <c r="E24" s="3">
        <v>1</v>
      </c>
      <c r="F24" s="10" t="s">
        <v>60</v>
      </c>
      <c r="G24" s="3">
        <f t="shared" si="0"/>
        <v>0</v>
      </c>
      <c r="H24" s="3"/>
    </row>
    <row r="25" spans="1:8" ht="18" x14ac:dyDescent="0.25">
      <c r="A25" s="3" t="s">
        <v>31</v>
      </c>
      <c r="B25" s="3" t="s">
        <v>32</v>
      </c>
      <c r="C25" s="5" t="s">
        <v>40</v>
      </c>
      <c r="D25" s="3" t="s">
        <v>16</v>
      </c>
      <c r="E25" s="3">
        <v>2</v>
      </c>
      <c r="F25" s="10" t="s">
        <v>60</v>
      </c>
      <c r="G25" s="3">
        <f t="shared" si="0"/>
        <v>0</v>
      </c>
      <c r="H25" s="3"/>
    </row>
    <row r="26" spans="1:8" ht="18" x14ac:dyDescent="0.25">
      <c r="A26" s="3" t="s">
        <v>31</v>
      </c>
      <c r="B26" s="3" t="s">
        <v>32</v>
      </c>
      <c r="C26" s="5" t="s">
        <v>41</v>
      </c>
      <c r="D26" s="3" t="s">
        <v>16</v>
      </c>
      <c r="E26" s="3">
        <v>2</v>
      </c>
      <c r="F26" s="10" t="s">
        <v>60</v>
      </c>
      <c r="G26" s="3">
        <f t="shared" si="0"/>
        <v>0</v>
      </c>
      <c r="H26" s="3"/>
    </row>
    <row r="27" spans="1:8" ht="18" x14ac:dyDescent="0.25">
      <c r="A27" s="3" t="s">
        <v>42</v>
      </c>
      <c r="B27" s="3" t="s">
        <v>43</v>
      </c>
      <c r="C27" s="5" t="s">
        <v>44</v>
      </c>
      <c r="D27" s="3" t="s">
        <v>16</v>
      </c>
      <c r="E27" s="3">
        <v>2</v>
      </c>
      <c r="F27" s="10" t="s">
        <v>60</v>
      </c>
      <c r="G27" s="3">
        <f t="shared" si="0"/>
        <v>0</v>
      </c>
      <c r="H27" s="3"/>
    </row>
    <row r="28" spans="1:8" ht="18" x14ac:dyDescent="0.25">
      <c r="A28" s="3" t="s">
        <v>42</v>
      </c>
      <c r="B28" s="3" t="s">
        <v>43</v>
      </c>
      <c r="C28" s="5" t="s">
        <v>45</v>
      </c>
      <c r="D28" s="3" t="s">
        <v>30</v>
      </c>
      <c r="E28" s="3">
        <v>1</v>
      </c>
      <c r="F28" s="10" t="s">
        <v>60</v>
      </c>
      <c r="G28" s="3">
        <f t="shared" si="0"/>
        <v>0</v>
      </c>
      <c r="H28" s="3"/>
    </row>
    <row r="29" spans="1:8" ht="18" x14ac:dyDescent="0.25">
      <c r="A29" s="3" t="s">
        <v>42</v>
      </c>
      <c r="B29" s="3" t="s">
        <v>43</v>
      </c>
      <c r="C29" s="5" t="s">
        <v>46</v>
      </c>
      <c r="D29" s="3" t="s">
        <v>30</v>
      </c>
      <c r="E29" s="3">
        <v>1</v>
      </c>
      <c r="F29" s="10" t="s">
        <v>60</v>
      </c>
      <c r="G29" s="3">
        <f t="shared" si="0"/>
        <v>0</v>
      </c>
      <c r="H29" s="3"/>
    </row>
    <row r="30" spans="1:8" ht="18" x14ac:dyDescent="0.25">
      <c r="A30" s="3" t="s">
        <v>47</v>
      </c>
      <c r="B30" s="3" t="s">
        <v>48</v>
      </c>
      <c r="C30" s="5" t="s">
        <v>49</v>
      </c>
      <c r="D30" s="3" t="s">
        <v>30</v>
      </c>
      <c r="E30" s="3">
        <v>1</v>
      </c>
      <c r="F30" s="10" t="s">
        <v>60</v>
      </c>
      <c r="G30" s="3">
        <f t="shared" si="0"/>
        <v>0</v>
      </c>
      <c r="H30" s="3"/>
    </row>
    <row r="31" spans="1:8" ht="18" x14ac:dyDescent="0.25">
      <c r="A31" s="3" t="s">
        <v>47</v>
      </c>
      <c r="B31" s="3" t="s">
        <v>48</v>
      </c>
      <c r="C31" s="5" t="s">
        <v>50</v>
      </c>
      <c r="D31" s="3" t="s">
        <v>16</v>
      </c>
      <c r="E31" s="3">
        <v>2</v>
      </c>
      <c r="F31" s="10" t="s">
        <v>60</v>
      </c>
      <c r="G31" s="3">
        <f t="shared" si="0"/>
        <v>0</v>
      </c>
      <c r="H31" s="3"/>
    </row>
    <row r="32" spans="1:8" ht="18" x14ac:dyDescent="0.25">
      <c r="A32" s="3" t="s">
        <v>47</v>
      </c>
      <c r="B32" s="3" t="s">
        <v>48</v>
      </c>
      <c r="C32" s="5" t="s">
        <v>51</v>
      </c>
      <c r="D32" s="3" t="s">
        <v>30</v>
      </c>
      <c r="E32" s="3">
        <v>1</v>
      </c>
      <c r="F32" s="10" t="s">
        <v>60</v>
      </c>
      <c r="G32" s="3">
        <f t="shared" si="0"/>
        <v>0</v>
      </c>
      <c r="H32" s="3"/>
    </row>
    <row r="33" spans="1:8" ht="18" x14ac:dyDescent="0.25">
      <c r="A33" s="3" t="s">
        <v>52</v>
      </c>
      <c r="B33" s="3" t="s">
        <v>53</v>
      </c>
      <c r="C33" s="5" t="s">
        <v>54</v>
      </c>
      <c r="D33" s="3" t="s">
        <v>16</v>
      </c>
      <c r="E33" s="3">
        <v>2</v>
      </c>
      <c r="F33" s="10" t="s">
        <v>60</v>
      </c>
      <c r="G33" s="3">
        <f t="shared" si="0"/>
        <v>0</v>
      </c>
      <c r="H33" s="3"/>
    </row>
    <row r="34" spans="1:8" ht="18" x14ac:dyDescent="0.25">
      <c r="A34" s="3" t="s">
        <v>52</v>
      </c>
      <c r="B34" s="3" t="s">
        <v>53</v>
      </c>
      <c r="C34" s="5" t="s">
        <v>55</v>
      </c>
      <c r="D34" s="3" t="s">
        <v>16</v>
      </c>
      <c r="E34" s="3">
        <v>2</v>
      </c>
      <c r="F34" s="10" t="s">
        <v>60</v>
      </c>
      <c r="G34" s="3">
        <f t="shared" si="0"/>
        <v>0</v>
      </c>
      <c r="H34" s="3"/>
    </row>
    <row r="35" spans="1:8" ht="18" x14ac:dyDescent="0.25">
      <c r="A35" s="3" t="s">
        <v>52</v>
      </c>
      <c r="B35" s="3" t="s">
        <v>53</v>
      </c>
      <c r="C35" s="5" t="s">
        <v>56</v>
      </c>
      <c r="D35" s="3" t="s">
        <v>30</v>
      </c>
      <c r="E35" s="3">
        <v>1</v>
      </c>
      <c r="F35" s="10" t="s">
        <v>60</v>
      </c>
      <c r="G35" s="3">
        <f t="shared" si="0"/>
        <v>0</v>
      </c>
      <c r="H35" s="3"/>
    </row>
    <row r="36" spans="1:8" ht="18" x14ac:dyDescent="0.25">
      <c r="A36" s="3" t="s">
        <v>52</v>
      </c>
      <c r="B36" s="3" t="s">
        <v>53</v>
      </c>
      <c r="C36" s="5" t="s">
        <v>57</v>
      </c>
      <c r="D36" s="3" t="s">
        <v>30</v>
      </c>
      <c r="E36" s="3">
        <v>1</v>
      </c>
      <c r="F36" s="10" t="s">
        <v>60</v>
      </c>
      <c r="G36" s="3">
        <f t="shared" si="0"/>
        <v>0</v>
      </c>
      <c r="H36" s="3"/>
    </row>
    <row r="37" spans="1:8" ht="18" x14ac:dyDescent="0.25">
      <c r="A37" s="3"/>
      <c r="B37" s="3"/>
      <c r="C37" s="5"/>
      <c r="D37" s="3"/>
      <c r="E37" s="3"/>
      <c r="F37" s="10"/>
      <c r="G37" s="3"/>
      <c r="H37" s="3"/>
    </row>
    <row r="38" spans="1:8" ht="72" x14ac:dyDescent="0.25">
      <c r="A38" s="3"/>
      <c r="B38" s="3"/>
      <c r="C38" s="5"/>
      <c r="D38" s="3"/>
      <c r="E38" s="5" t="s">
        <v>58</v>
      </c>
      <c r="F38" s="10">
        <f>SUMIF(D5:D36,"&lt;&gt;Critical",E5:E36)</f>
        <v>11.5</v>
      </c>
      <c r="G38" s="3"/>
      <c r="H38" s="3"/>
    </row>
    <row r="39" spans="1:8" ht="72" x14ac:dyDescent="0.25">
      <c r="A39" s="3"/>
      <c r="B39" s="3"/>
      <c r="C39" s="5"/>
      <c r="D39" s="3"/>
      <c r="E39" s="5" t="s">
        <v>59</v>
      </c>
      <c r="F39" s="10">
        <f>SUMIF(D5:D36,"&lt;&gt;Critical",G5:G36)</f>
        <v>0.5</v>
      </c>
      <c r="G39" s="3"/>
      <c r="H39" s="3"/>
    </row>
    <row r="40" spans="1:8" ht="18" x14ac:dyDescent="0.25">
      <c r="A40" s="3"/>
      <c r="B40" s="3"/>
      <c r="C40" s="5"/>
      <c r="D40" s="3"/>
      <c r="E40" s="2"/>
      <c r="F40" s="11">
        <f>(1-(F39/F38))</f>
        <v>0.95652173913043481</v>
      </c>
      <c r="G40" s="3"/>
      <c r="H40" s="3"/>
    </row>
    <row r="41" spans="1:8" ht="18" x14ac:dyDescent="0.25">
      <c r="A41" s="3"/>
      <c r="B41" s="3"/>
      <c r="C41" s="5"/>
      <c r="D41" s="3"/>
      <c r="E41" s="2"/>
      <c r="F41" s="8"/>
      <c r="G41" s="3"/>
      <c r="H41" s="3"/>
    </row>
    <row r="42" spans="1:8" x14ac:dyDescent="0.25">
      <c r="A42" s="2"/>
      <c r="B42" s="2"/>
      <c r="C42" s="6"/>
      <c r="D42" s="2"/>
      <c r="E42" s="2"/>
      <c r="F42" s="8"/>
      <c r="G42" s="2"/>
      <c r="H42" s="2"/>
    </row>
    <row r="43" spans="1:8" ht="18" x14ac:dyDescent="0.25">
      <c r="A43" s="2"/>
      <c r="B43" s="2"/>
      <c r="C43" s="6"/>
      <c r="D43" s="2"/>
      <c r="E43" s="3"/>
      <c r="F43" s="10"/>
      <c r="G43" s="2"/>
      <c r="H43" s="2"/>
    </row>
    <row r="44" spans="1:8" ht="18" x14ac:dyDescent="0.25">
      <c r="A44" s="2"/>
      <c r="B44" s="2"/>
      <c r="C44" s="6"/>
      <c r="D44" s="2"/>
      <c r="E44" s="3"/>
      <c r="F44" s="10"/>
      <c r="G44" s="2"/>
      <c r="H44" s="2"/>
    </row>
  </sheetData>
  <conditionalFormatting sqref="B1">
    <cfRule type="cellIs" dxfId="23" priority="4" operator="equal">
      <formula>"NO"</formula>
    </cfRule>
    <cfRule type="cellIs" dxfId="22" priority="7" operator="equal">
      <formula>"YES"</formula>
    </cfRule>
    <cfRule type="cellIs" dxfId="21" priority="8" operator="equal">
      <formula>"YEA"</formula>
    </cfRule>
  </conditionalFormatting>
  <conditionalFormatting sqref="B2:B3">
    <cfRule type="containsText" dxfId="20" priority="5" operator="containsText" text="PASS">
      <formula>NOT(ISERROR(SEARCH("PASS",B2)))</formula>
    </cfRule>
    <cfRule type="cellIs" dxfId="19" priority="6" operator="equal">
      <formula>"FAIL"</formula>
    </cfRule>
  </conditionalFormatting>
  <conditionalFormatting sqref="B3">
    <cfRule type="cellIs" dxfId="18" priority="1" operator="lessThan">
      <formula>0.9</formula>
    </cfRule>
    <cfRule type="cellIs" dxfId="17" priority="2" operator="greaterThanOrEqual">
      <formula>0.9</formula>
    </cfRule>
    <cfRule type="cellIs" dxfId="16" priority="3" operator="greaterThanOrEqual">
      <formula>90</formula>
    </cfRule>
  </conditionalFormatting>
  <conditionalFormatting sqref="F43">
    <cfRule type="cellIs" dxfId="15" priority="11" operator="equal">
      <formula>"YES"</formula>
    </cfRule>
    <cfRule type="cellIs" dxfId="14" priority="12" operator="equal">
      <formula>"YEA"</formula>
    </cfRule>
  </conditionalFormatting>
  <conditionalFormatting sqref="F44">
    <cfRule type="containsText" dxfId="13" priority="9" operator="containsText" text="PASS">
      <formula>NOT(ISERROR(SEARCH("PASS",F44)))</formula>
    </cfRule>
    <cfRule type="cellIs" dxfId="12" priority="10" operator="equal">
      <formula>"FAIL"</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06772-BFCB-437A-8C7C-4781E3397BE8}">
  <dimension ref="A1:H44"/>
  <sheetViews>
    <sheetView tabSelected="1" topLeftCell="A7" workbookViewId="0">
      <selection activeCell="F37" sqref="F37"/>
    </sheetView>
  </sheetViews>
  <sheetFormatPr defaultRowHeight="15" x14ac:dyDescent="0.25"/>
  <cols>
    <col min="1" max="1" width="29.7109375" customWidth="1"/>
    <col min="2" max="2" width="19.42578125" customWidth="1"/>
    <col min="3" max="3" width="58" customWidth="1"/>
    <col min="4" max="4" width="12.7109375" customWidth="1"/>
    <col min="5" max="5" width="15" customWidth="1"/>
    <col min="6" max="6" width="15.140625" customWidth="1"/>
    <col min="7" max="7" width="18.7109375" customWidth="1"/>
    <col min="8" max="8" width="57.42578125" customWidth="1"/>
  </cols>
  <sheetData>
    <row r="1" spans="1:8" ht="18" x14ac:dyDescent="0.25">
      <c r="A1" s="7" t="s">
        <v>0</v>
      </c>
      <c r="B1" s="7" t="str">
        <f>IF(
  COUNTIFS(D5:D36,"Critical",F5:F36,"N")
+ COUNTIFS(D5:D36,"Critical",F5:F36,"n") &gt; 0,
"YES","NO")</f>
        <v>YES</v>
      </c>
      <c r="C1" s="6"/>
      <c r="D1" s="2"/>
      <c r="E1" s="2"/>
      <c r="F1" s="8"/>
      <c r="G1" s="2"/>
      <c r="H1" s="2"/>
    </row>
    <row r="2" spans="1:8" ht="18" x14ac:dyDescent="0.25">
      <c r="A2" s="7" t="s">
        <v>1</v>
      </c>
      <c r="B2" s="7" t="str">
        <f>IF(B1="YES","FAIL",IF(F39/F38&lt;=0.1,"PASS","FAIL"))</f>
        <v>FAIL</v>
      </c>
      <c r="C2" s="6"/>
      <c r="D2" s="2"/>
      <c r="E2" s="2"/>
      <c r="F2" s="8"/>
      <c r="G2" s="2"/>
      <c r="H2" s="2"/>
    </row>
    <row r="3" spans="1:8" ht="18" x14ac:dyDescent="0.25">
      <c r="A3" s="7" t="s">
        <v>2</v>
      </c>
      <c r="B3" s="12">
        <f>(1-(F39/F38))</f>
        <v>0.78260869565217395</v>
      </c>
      <c r="C3" s="6"/>
      <c r="D3" s="2"/>
      <c r="E3" s="2"/>
      <c r="F3" s="8"/>
      <c r="G3" s="2"/>
      <c r="H3" s="2"/>
    </row>
    <row r="4" spans="1:8" ht="18" x14ac:dyDescent="0.25">
      <c r="A4" s="1" t="s">
        <v>3</v>
      </c>
      <c r="B4" s="1" t="s">
        <v>4</v>
      </c>
      <c r="C4" s="4" t="s">
        <v>5</v>
      </c>
      <c r="D4" s="1" t="s">
        <v>6</v>
      </c>
      <c r="E4" s="1" t="s">
        <v>7</v>
      </c>
      <c r="F4" s="9" t="s">
        <v>8</v>
      </c>
      <c r="G4" s="1" t="s">
        <v>9</v>
      </c>
      <c r="H4" s="1" t="s">
        <v>10</v>
      </c>
    </row>
    <row r="5" spans="1:8" ht="18" x14ac:dyDescent="0.25">
      <c r="A5" s="3" t="s">
        <v>11</v>
      </c>
      <c r="B5" s="3" t="s">
        <v>12</v>
      </c>
      <c r="C5" s="5" t="s">
        <v>13</v>
      </c>
      <c r="D5" s="3" t="s">
        <v>14</v>
      </c>
      <c r="E5" s="3">
        <v>0</v>
      </c>
      <c r="F5" s="10" t="s">
        <v>61</v>
      </c>
      <c r="G5" s="3">
        <f>IF(LOWER(F5)="n", E5, 0)</f>
        <v>0</v>
      </c>
      <c r="H5" s="3"/>
    </row>
    <row r="6" spans="1:8" ht="54" x14ac:dyDescent="0.25">
      <c r="A6" s="3" t="s">
        <v>11</v>
      </c>
      <c r="B6" s="3" t="s">
        <v>12</v>
      </c>
      <c r="C6" s="5" t="s">
        <v>15</v>
      </c>
      <c r="D6" s="3" t="s">
        <v>16</v>
      </c>
      <c r="E6" s="3">
        <v>2</v>
      </c>
      <c r="F6" s="10" t="s">
        <v>60</v>
      </c>
      <c r="G6" s="3">
        <f t="shared" ref="G6:G36" si="0">IF(LOWER(F6)="n", E6, 0)</f>
        <v>0</v>
      </c>
      <c r="H6" s="3"/>
    </row>
    <row r="7" spans="1:8" ht="54" x14ac:dyDescent="0.25">
      <c r="A7" s="3" t="s">
        <v>11</v>
      </c>
      <c r="B7" s="3" t="s">
        <v>12</v>
      </c>
      <c r="C7" s="5" t="s">
        <v>17</v>
      </c>
      <c r="D7" s="3" t="s">
        <v>16</v>
      </c>
      <c r="E7" s="3">
        <v>2</v>
      </c>
      <c r="F7" s="10"/>
      <c r="G7" s="3">
        <f t="shared" si="0"/>
        <v>0</v>
      </c>
      <c r="H7" s="3"/>
    </row>
    <row r="8" spans="1:8" ht="54" x14ac:dyDescent="0.25">
      <c r="A8" s="3" t="s">
        <v>11</v>
      </c>
      <c r="B8" s="3" t="s">
        <v>12</v>
      </c>
      <c r="C8" s="5" t="s">
        <v>18</v>
      </c>
      <c r="D8" s="3" t="s">
        <v>16</v>
      </c>
      <c r="E8" s="3">
        <v>2</v>
      </c>
      <c r="F8" s="10"/>
      <c r="G8" s="3">
        <f t="shared" si="0"/>
        <v>0</v>
      </c>
      <c r="H8" s="3"/>
    </row>
    <row r="9" spans="1:8" ht="54" x14ac:dyDescent="0.25">
      <c r="A9" s="3" t="s">
        <v>11</v>
      </c>
      <c r="B9" s="3" t="s">
        <v>12</v>
      </c>
      <c r="C9" s="5" t="s">
        <v>19</v>
      </c>
      <c r="D9" s="3" t="s">
        <v>16</v>
      </c>
      <c r="E9" s="3">
        <v>2</v>
      </c>
      <c r="F9" s="10" t="s">
        <v>61</v>
      </c>
      <c r="G9" s="3">
        <f t="shared" si="0"/>
        <v>2</v>
      </c>
      <c r="H9" s="3"/>
    </row>
    <row r="10" spans="1:8" ht="221.25" customHeight="1" x14ac:dyDescent="0.25">
      <c r="A10" s="3" t="s">
        <v>11</v>
      </c>
      <c r="B10" s="3" t="s">
        <v>12</v>
      </c>
      <c r="C10" s="5" t="s">
        <v>20</v>
      </c>
      <c r="D10" s="3" t="s">
        <v>21</v>
      </c>
      <c r="E10" s="3">
        <v>0.5</v>
      </c>
      <c r="F10" s="10" t="s">
        <v>61</v>
      </c>
      <c r="G10" s="3">
        <f>IF(LOWER(F10)="n", E10, 0)</f>
        <v>0.5</v>
      </c>
      <c r="H10" s="13" t="s">
        <v>62</v>
      </c>
    </row>
    <row r="11" spans="1:8" ht="18" x14ac:dyDescent="0.25">
      <c r="A11" s="3" t="s">
        <v>11</v>
      </c>
      <c r="B11" s="3" t="s">
        <v>12</v>
      </c>
      <c r="C11" s="5" t="s">
        <v>22</v>
      </c>
      <c r="D11" s="3" t="s">
        <v>16</v>
      </c>
      <c r="E11" s="3">
        <v>2</v>
      </c>
      <c r="F11" s="10" t="s">
        <v>61</v>
      </c>
      <c r="G11" s="3">
        <f t="shared" si="0"/>
        <v>2</v>
      </c>
      <c r="H11" s="3"/>
    </row>
    <row r="12" spans="1:8" ht="18" x14ac:dyDescent="0.25">
      <c r="A12" s="3" t="s">
        <v>11</v>
      </c>
      <c r="B12" s="3" t="s">
        <v>23</v>
      </c>
      <c r="C12" s="5" t="s">
        <v>24</v>
      </c>
      <c r="D12" s="3" t="s">
        <v>14</v>
      </c>
      <c r="E12" s="3">
        <v>0</v>
      </c>
      <c r="F12" s="10" t="s">
        <v>60</v>
      </c>
      <c r="G12" s="3">
        <f t="shared" si="0"/>
        <v>0</v>
      </c>
      <c r="H12" s="3"/>
    </row>
    <row r="13" spans="1:8" ht="36" x14ac:dyDescent="0.25">
      <c r="A13" s="3" t="s">
        <v>11</v>
      </c>
      <c r="B13" s="3" t="s">
        <v>23</v>
      </c>
      <c r="C13" s="5" t="s">
        <v>25</v>
      </c>
      <c r="D13" s="3" t="s">
        <v>16</v>
      </c>
      <c r="E13" s="3">
        <v>2</v>
      </c>
      <c r="F13" s="10"/>
      <c r="G13" s="3">
        <f t="shared" si="0"/>
        <v>0</v>
      </c>
      <c r="H13" s="3"/>
    </row>
    <row r="14" spans="1:8" ht="36" x14ac:dyDescent="0.25">
      <c r="A14" s="3" t="s">
        <v>11</v>
      </c>
      <c r="B14" s="3" t="s">
        <v>23</v>
      </c>
      <c r="C14" s="5" t="s">
        <v>26</v>
      </c>
      <c r="D14" s="3" t="s">
        <v>16</v>
      </c>
      <c r="E14" s="3">
        <v>2</v>
      </c>
      <c r="F14" s="10"/>
      <c r="G14" s="3">
        <f t="shared" si="0"/>
        <v>0</v>
      </c>
      <c r="H14" s="3"/>
    </row>
    <row r="15" spans="1:8" ht="18" x14ac:dyDescent="0.25">
      <c r="A15" s="3" t="s">
        <v>11</v>
      </c>
      <c r="B15" s="3" t="s">
        <v>23</v>
      </c>
      <c r="C15" s="5" t="s">
        <v>27</v>
      </c>
      <c r="D15" s="3" t="s">
        <v>16</v>
      </c>
      <c r="E15" s="3">
        <v>2</v>
      </c>
      <c r="F15" s="10" t="s">
        <v>60</v>
      </c>
      <c r="G15" s="3">
        <f t="shared" si="0"/>
        <v>0</v>
      </c>
      <c r="H15" s="3"/>
    </row>
    <row r="16" spans="1:8" ht="54" x14ac:dyDescent="0.25">
      <c r="A16" s="3" t="s">
        <v>11</v>
      </c>
      <c r="B16" s="3" t="s">
        <v>23</v>
      </c>
      <c r="C16" s="5" t="s">
        <v>28</v>
      </c>
      <c r="D16" s="3" t="s">
        <v>21</v>
      </c>
      <c r="E16" s="3">
        <v>0.5</v>
      </c>
      <c r="F16" s="10" t="s">
        <v>61</v>
      </c>
      <c r="G16" s="3">
        <f t="shared" si="0"/>
        <v>0.5</v>
      </c>
      <c r="H16" s="3" t="s">
        <v>63</v>
      </c>
    </row>
    <row r="17" spans="1:8" ht="54" x14ac:dyDescent="0.25">
      <c r="A17" s="3" t="s">
        <v>11</v>
      </c>
      <c r="B17" s="3" t="s">
        <v>23</v>
      </c>
      <c r="C17" s="5" t="s">
        <v>29</v>
      </c>
      <c r="D17" s="3" t="s">
        <v>30</v>
      </c>
      <c r="E17" s="3">
        <v>1</v>
      </c>
      <c r="F17" s="10" t="s">
        <v>60</v>
      </c>
      <c r="G17" s="3">
        <f t="shared" si="0"/>
        <v>0</v>
      </c>
      <c r="H17" s="3"/>
    </row>
    <row r="18" spans="1:8" ht="18" x14ac:dyDescent="0.25">
      <c r="A18" s="3" t="s">
        <v>31</v>
      </c>
      <c r="B18" s="3" t="s">
        <v>32</v>
      </c>
      <c r="C18" s="5" t="s">
        <v>33</v>
      </c>
      <c r="D18" s="3" t="s">
        <v>16</v>
      </c>
      <c r="E18" s="3">
        <v>2</v>
      </c>
      <c r="F18" s="10" t="s">
        <v>60</v>
      </c>
      <c r="G18" s="3">
        <f t="shared" si="0"/>
        <v>0</v>
      </c>
      <c r="H18" s="3"/>
    </row>
    <row r="19" spans="1:8" ht="108" x14ac:dyDescent="0.25">
      <c r="A19" s="3" t="s">
        <v>31</v>
      </c>
      <c r="B19" s="3" t="s">
        <v>32</v>
      </c>
      <c r="C19" s="5" t="s">
        <v>64</v>
      </c>
      <c r="D19" s="3" t="s">
        <v>21</v>
      </c>
      <c r="E19" s="3">
        <v>0.5</v>
      </c>
      <c r="F19" s="10" t="s">
        <v>61</v>
      </c>
      <c r="G19" s="3">
        <f t="shared" si="0"/>
        <v>0.5</v>
      </c>
      <c r="H19" s="3"/>
    </row>
    <row r="20" spans="1:8" ht="72" x14ac:dyDescent="0.25">
      <c r="A20" s="3" t="s">
        <v>31</v>
      </c>
      <c r="B20" s="3" t="s">
        <v>32</v>
      </c>
      <c r="C20" s="5" t="s">
        <v>35</v>
      </c>
      <c r="D20" s="3" t="s">
        <v>30</v>
      </c>
      <c r="E20" s="3">
        <v>1</v>
      </c>
      <c r="F20" s="10" t="s">
        <v>60</v>
      </c>
      <c r="G20" s="3">
        <f t="shared" si="0"/>
        <v>0</v>
      </c>
      <c r="H20" s="3"/>
    </row>
    <row r="21" spans="1:8" ht="18" x14ac:dyDescent="0.25">
      <c r="A21" s="3" t="s">
        <v>31</v>
      </c>
      <c r="B21" s="3" t="s">
        <v>32</v>
      </c>
      <c r="C21" s="5" t="s">
        <v>36</v>
      </c>
      <c r="D21" s="3" t="s">
        <v>16</v>
      </c>
      <c r="E21" s="3">
        <v>2</v>
      </c>
      <c r="F21" s="10" t="s">
        <v>60</v>
      </c>
      <c r="G21" s="3">
        <f t="shared" si="0"/>
        <v>0</v>
      </c>
      <c r="H21" s="3"/>
    </row>
    <row r="22" spans="1:8" ht="18" x14ac:dyDescent="0.25">
      <c r="A22" s="3" t="s">
        <v>31</v>
      </c>
      <c r="B22" s="3" t="s">
        <v>32</v>
      </c>
      <c r="C22" s="5" t="s">
        <v>37</v>
      </c>
      <c r="D22" s="3" t="s">
        <v>16</v>
      </c>
      <c r="E22" s="3">
        <v>2</v>
      </c>
      <c r="F22" s="10"/>
      <c r="G22" s="3">
        <f t="shared" si="0"/>
        <v>0</v>
      </c>
      <c r="H22" s="3"/>
    </row>
    <row r="23" spans="1:8" ht="18" x14ac:dyDescent="0.25">
      <c r="A23" s="3" t="s">
        <v>31</v>
      </c>
      <c r="B23" s="3" t="s">
        <v>32</v>
      </c>
      <c r="C23" s="5" t="s">
        <v>38</v>
      </c>
      <c r="D23" s="3" t="s">
        <v>30</v>
      </c>
      <c r="E23" s="3">
        <v>1</v>
      </c>
      <c r="F23" s="10"/>
      <c r="G23" s="3">
        <f t="shared" si="0"/>
        <v>0</v>
      </c>
      <c r="H23" s="3"/>
    </row>
    <row r="24" spans="1:8" ht="18" x14ac:dyDescent="0.25">
      <c r="A24" s="3" t="s">
        <v>31</v>
      </c>
      <c r="B24" s="3" t="s">
        <v>32</v>
      </c>
      <c r="C24" s="5" t="s">
        <v>39</v>
      </c>
      <c r="D24" s="3" t="s">
        <v>30</v>
      </c>
      <c r="E24" s="3">
        <v>1</v>
      </c>
      <c r="F24" s="10"/>
      <c r="G24" s="3">
        <f t="shared" si="0"/>
        <v>0</v>
      </c>
      <c r="H24" s="3"/>
    </row>
    <row r="25" spans="1:8" ht="18" x14ac:dyDescent="0.25">
      <c r="A25" s="3" t="s">
        <v>31</v>
      </c>
      <c r="B25" s="3" t="s">
        <v>32</v>
      </c>
      <c r="C25" s="5" t="s">
        <v>40</v>
      </c>
      <c r="D25" s="3" t="s">
        <v>16</v>
      </c>
      <c r="E25" s="3">
        <v>2</v>
      </c>
      <c r="F25" s="10" t="s">
        <v>60</v>
      </c>
      <c r="G25" s="3">
        <f t="shared" si="0"/>
        <v>0</v>
      </c>
      <c r="H25" s="3"/>
    </row>
    <row r="26" spans="1:8" ht="18" x14ac:dyDescent="0.25">
      <c r="A26" s="3" t="s">
        <v>31</v>
      </c>
      <c r="B26" s="3" t="s">
        <v>32</v>
      </c>
      <c r="C26" s="5" t="s">
        <v>41</v>
      </c>
      <c r="D26" s="3" t="s">
        <v>16</v>
      </c>
      <c r="E26" s="3">
        <v>2</v>
      </c>
      <c r="F26" s="10" t="s">
        <v>61</v>
      </c>
      <c r="G26" s="3">
        <f t="shared" si="0"/>
        <v>2</v>
      </c>
      <c r="H26" s="3"/>
    </row>
    <row r="27" spans="1:8" ht="18" x14ac:dyDescent="0.25">
      <c r="A27" s="3" t="s">
        <v>42</v>
      </c>
      <c r="B27" s="3" t="s">
        <v>43</v>
      </c>
      <c r="C27" s="5" t="s">
        <v>44</v>
      </c>
      <c r="D27" s="3" t="s">
        <v>16</v>
      </c>
      <c r="E27" s="3">
        <v>2</v>
      </c>
      <c r="F27" s="10" t="s">
        <v>60</v>
      </c>
      <c r="G27" s="3">
        <f t="shared" si="0"/>
        <v>0</v>
      </c>
      <c r="H27" s="3"/>
    </row>
    <row r="28" spans="1:8" ht="18" x14ac:dyDescent="0.25">
      <c r="A28" s="3" t="s">
        <v>42</v>
      </c>
      <c r="B28" s="3" t="s">
        <v>43</v>
      </c>
      <c r="C28" s="5" t="s">
        <v>45</v>
      </c>
      <c r="D28" s="3" t="s">
        <v>30</v>
      </c>
      <c r="E28" s="3">
        <v>1</v>
      </c>
      <c r="F28" s="10" t="s">
        <v>61</v>
      </c>
      <c r="G28" s="3">
        <f t="shared" si="0"/>
        <v>1</v>
      </c>
      <c r="H28" s="3"/>
    </row>
    <row r="29" spans="1:8" ht="18" x14ac:dyDescent="0.25">
      <c r="A29" s="3" t="s">
        <v>42</v>
      </c>
      <c r="B29" s="3" t="s">
        <v>43</v>
      </c>
      <c r="C29" s="5" t="s">
        <v>46</v>
      </c>
      <c r="D29" s="3" t="s">
        <v>30</v>
      </c>
      <c r="E29" s="3">
        <v>1</v>
      </c>
      <c r="F29" s="10" t="s">
        <v>60</v>
      </c>
      <c r="G29" s="3">
        <f t="shared" si="0"/>
        <v>0</v>
      </c>
      <c r="H29" s="3"/>
    </row>
    <row r="30" spans="1:8" ht="18" x14ac:dyDescent="0.25">
      <c r="A30" s="3" t="s">
        <v>47</v>
      </c>
      <c r="B30" s="3" t="s">
        <v>48</v>
      </c>
      <c r="C30" s="5" t="s">
        <v>49</v>
      </c>
      <c r="D30" s="3" t="s">
        <v>30</v>
      </c>
      <c r="E30" s="3">
        <v>1</v>
      </c>
      <c r="F30" s="10" t="s">
        <v>60</v>
      </c>
      <c r="G30" s="3">
        <f t="shared" si="0"/>
        <v>0</v>
      </c>
      <c r="H30" s="3"/>
    </row>
    <row r="31" spans="1:8" ht="18" x14ac:dyDescent="0.25">
      <c r="A31" s="3" t="s">
        <v>47</v>
      </c>
      <c r="B31" s="3" t="s">
        <v>48</v>
      </c>
      <c r="C31" s="5" t="s">
        <v>50</v>
      </c>
      <c r="D31" s="3" t="s">
        <v>16</v>
      </c>
      <c r="E31" s="3">
        <v>2</v>
      </c>
      <c r="F31" s="10" t="s">
        <v>60</v>
      </c>
      <c r="G31" s="3">
        <f t="shared" si="0"/>
        <v>0</v>
      </c>
      <c r="H31" s="3"/>
    </row>
    <row r="32" spans="1:8" ht="18" x14ac:dyDescent="0.25">
      <c r="A32" s="3" t="s">
        <v>47</v>
      </c>
      <c r="B32" s="3" t="s">
        <v>48</v>
      </c>
      <c r="C32" s="5" t="s">
        <v>51</v>
      </c>
      <c r="D32" s="3" t="s">
        <v>30</v>
      </c>
      <c r="E32" s="3">
        <v>1</v>
      </c>
      <c r="F32" s="10" t="s">
        <v>60</v>
      </c>
      <c r="G32" s="3">
        <f t="shared" si="0"/>
        <v>0</v>
      </c>
      <c r="H32" s="3"/>
    </row>
    <row r="33" spans="1:8" ht="18" x14ac:dyDescent="0.25">
      <c r="A33" s="3" t="s">
        <v>52</v>
      </c>
      <c r="B33" s="3" t="s">
        <v>53</v>
      </c>
      <c r="C33" s="5" t="s">
        <v>54</v>
      </c>
      <c r="D33" s="3" t="s">
        <v>16</v>
      </c>
      <c r="E33" s="3">
        <v>2</v>
      </c>
      <c r="F33" s="10" t="s">
        <v>60</v>
      </c>
      <c r="G33" s="3">
        <f t="shared" si="0"/>
        <v>0</v>
      </c>
      <c r="H33" s="3"/>
    </row>
    <row r="34" spans="1:8" ht="18" x14ac:dyDescent="0.25">
      <c r="A34" s="3" t="s">
        <v>52</v>
      </c>
      <c r="B34" s="3" t="s">
        <v>53</v>
      </c>
      <c r="C34" s="5" t="s">
        <v>55</v>
      </c>
      <c r="D34" s="3" t="s">
        <v>16</v>
      </c>
      <c r="E34" s="3">
        <v>2</v>
      </c>
      <c r="F34" s="10" t="s">
        <v>60</v>
      </c>
      <c r="G34" s="3">
        <f t="shared" si="0"/>
        <v>0</v>
      </c>
      <c r="H34" s="3"/>
    </row>
    <row r="35" spans="1:8" ht="18" x14ac:dyDescent="0.25">
      <c r="A35" s="3" t="s">
        <v>52</v>
      </c>
      <c r="B35" s="3" t="s">
        <v>53</v>
      </c>
      <c r="C35" s="5" t="s">
        <v>56</v>
      </c>
      <c r="D35" s="3" t="s">
        <v>30</v>
      </c>
      <c r="E35" s="3">
        <v>1</v>
      </c>
      <c r="F35" s="10" t="s">
        <v>60</v>
      </c>
      <c r="G35" s="3">
        <f t="shared" si="0"/>
        <v>0</v>
      </c>
      <c r="H35" s="3"/>
    </row>
    <row r="36" spans="1:8" ht="18" x14ac:dyDescent="0.25">
      <c r="A36" s="3" t="s">
        <v>52</v>
      </c>
      <c r="B36" s="3" t="s">
        <v>53</v>
      </c>
      <c r="C36" s="5" t="s">
        <v>57</v>
      </c>
      <c r="D36" s="3" t="s">
        <v>30</v>
      </c>
      <c r="E36" s="3">
        <v>1</v>
      </c>
      <c r="F36" s="10" t="s">
        <v>60</v>
      </c>
      <c r="G36" s="3">
        <f t="shared" si="0"/>
        <v>0</v>
      </c>
      <c r="H36" s="3"/>
    </row>
    <row r="37" spans="1:8" ht="18" x14ac:dyDescent="0.25">
      <c r="A37" s="3"/>
      <c r="B37" s="3"/>
      <c r="C37" s="5"/>
      <c r="D37" s="3"/>
      <c r="E37" s="3"/>
      <c r="F37" s="10"/>
      <c r="G37" s="3"/>
      <c r="H37" s="3"/>
    </row>
    <row r="38" spans="1:8" ht="72" x14ac:dyDescent="0.25">
      <c r="A38" s="3"/>
      <c r="B38" s="3"/>
      <c r="C38" s="5"/>
      <c r="D38" s="3"/>
      <c r="E38" s="5" t="s">
        <v>58</v>
      </c>
      <c r="F38" s="10">
        <f>SUMIF(D5:D36,"&lt;&gt;Critical",E5:E36)</f>
        <v>11.5</v>
      </c>
      <c r="G38" s="3"/>
      <c r="H38" s="3"/>
    </row>
    <row r="39" spans="1:8" ht="72" x14ac:dyDescent="0.25">
      <c r="A39" s="3"/>
      <c r="B39" s="3"/>
      <c r="C39" s="5"/>
      <c r="D39" s="3"/>
      <c r="E39" s="5" t="s">
        <v>59</v>
      </c>
      <c r="F39" s="10">
        <f>SUMIF(D5:D36,"&lt;&gt;Critical",G5:G36)</f>
        <v>2.5</v>
      </c>
      <c r="G39" s="3"/>
      <c r="H39" s="3"/>
    </row>
    <row r="40" spans="1:8" ht="18" x14ac:dyDescent="0.25">
      <c r="A40" s="3"/>
      <c r="B40" s="3"/>
      <c r="C40" s="5"/>
      <c r="D40" s="3"/>
      <c r="E40" s="2"/>
      <c r="F40" s="11">
        <f>(1-(F39/F38))</f>
        <v>0.78260869565217395</v>
      </c>
      <c r="G40" s="3"/>
      <c r="H40" s="3"/>
    </row>
    <row r="41" spans="1:8" ht="18" x14ac:dyDescent="0.25">
      <c r="A41" s="3"/>
      <c r="B41" s="3"/>
      <c r="C41" s="5"/>
      <c r="D41" s="3"/>
      <c r="E41" s="2"/>
      <c r="F41" s="8"/>
      <c r="G41" s="3"/>
      <c r="H41" s="3"/>
    </row>
    <row r="42" spans="1:8" x14ac:dyDescent="0.25">
      <c r="A42" s="2"/>
      <c r="B42" s="2"/>
      <c r="C42" s="6"/>
      <c r="D42" s="2"/>
      <c r="E42" s="2"/>
      <c r="F42" s="8"/>
      <c r="G42" s="2"/>
      <c r="H42" s="2"/>
    </row>
    <row r="43" spans="1:8" ht="18" x14ac:dyDescent="0.25">
      <c r="A43" s="2"/>
      <c r="B43" s="2"/>
      <c r="C43" s="6"/>
      <c r="D43" s="2"/>
      <c r="E43" s="3"/>
      <c r="F43" s="10"/>
      <c r="G43" s="2"/>
      <c r="H43" s="2"/>
    </row>
    <row r="44" spans="1:8" ht="18" x14ac:dyDescent="0.25">
      <c r="A44" s="2"/>
      <c r="B44" s="2"/>
      <c r="C44" s="6"/>
      <c r="D44" s="2"/>
      <c r="E44" s="3"/>
      <c r="F44" s="10"/>
      <c r="G44" s="2"/>
      <c r="H44" s="2"/>
    </row>
  </sheetData>
  <conditionalFormatting sqref="B1">
    <cfRule type="cellIs" dxfId="11" priority="4" operator="equal">
      <formula>"NO"</formula>
    </cfRule>
    <cfRule type="cellIs" dxfId="10" priority="7" operator="equal">
      <formula>"YES"</formula>
    </cfRule>
    <cfRule type="cellIs" dxfId="9" priority="8" operator="equal">
      <formula>"YEA"</formula>
    </cfRule>
  </conditionalFormatting>
  <conditionalFormatting sqref="B2:B3">
    <cfRule type="containsText" dxfId="8" priority="5" operator="containsText" text="PASS">
      <formula>NOT(ISERROR(SEARCH("PASS",B2)))</formula>
    </cfRule>
    <cfRule type="cellIs" dxfId="7" priority="6" operator="equal">
      <formula>"FAIL"</formula>
    </cfRule>
  </conditionalFormatting>
  <conditionalFormatting sqref="B3">
    <cfRule type="cellIs" dxfId="6" priority="1" operator="lessThan">
      <formula>0.9</formula>
    </cfRule>
    <cfRule type="cellIs" dxfId="5" priority="2" operator="greaterThanOrEqual">
      <formula>0.9</formula>
    </cfRule>
    <cfRule type="cellIs" dxfId="4" priority="3" operator="greaterThanOrEqual">
      <formula>90</formula>
    </cfRule>
  </conditionalFormatting>
  <conditionalFormatting sqref="F43">
    <cfRule type="cellIs" dxfId="3" priority="11" operator="equal">
      <formula>"YES"</formula>
    </cfRule>
    <cfRule type="cellIs" dxfId="2" priority="12" operator="equal">
      <formula>"YEA"</formula>
    </cfRule>
  </conditionalFormatting>
  <conditionalFormatting sqref="F44">
    <cfRule type="containsText" dxfId="1" priority="9" operator="containsText" text="PASS">
      <formula>NOT(ISERROR(SEARCH("PASS",F44)))</formula>
    </cfRule>
    <cfRule type="cellIs" dxfId="0" priority="10" operator="equal">
      <formula>"FAIL"</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Rubric</vt:lpstr>
      <vt:lpstr>Test 1</vt:lpstr>
      <vt:lpstr>Test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Gabi Martins</cp:lastModifiedBy>
  <cp:revision/>
  <dcterms:created xsi:type="dcterms:W3CDTF">2026-01-14T17:44:32Z</dcterms:created>
  <dcterms:modified xsi:type="dcterms:W3CDTF">2026-01-16T01:50:49Z</dcterms:modified>
  <cp:category/>
  <cp:contentStatus/>
</cp:coreProperties>
</file>